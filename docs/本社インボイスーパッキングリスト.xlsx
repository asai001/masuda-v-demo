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uyen\Dropbox\Nga (1)\xuat cty me\Năm 2025\019.Tháng 12\"/>
    </mc:Choice>
  </mc:AlternateContent>
  <xr:revisionPtr revIDLastSave="0" documentId="13_ncr:1_{B24212E4-8916-42A0-8F90-5173BACCFB1F}" xr6:coauthVersionLast="47" xr6:coauthVersionMax="47" xr10:uidLastSave="{00000000-0000-0000-0000-000000000000}"/>
  <bookViews>
    <workbookView xWindow="-113" yWindow="-113" windowWidth="24267" windowHeight="13023" tabRatio="522" xr2:uid="{00000000-000D-0000-FFFF-FFFF00000000}"/>
  </bookViews>
  <sheets>
    <sheet name="INVOICE" sheetId="1" r:id="rId1"/>
    <sheet name="PACKING LIST" sheetId="2" r:id="rId2"/>
    <sheet name="IV tong" sheetId="8" state="hidden" r:id="rId3"/>
    <sheet name="PL tong" sheetId="9" state="hidden" r:id="rId4"/>
    <sheet name="Yeu cau thanh toan" sheetId="10" state="hidden" r:id="rId5"/>
    <sheet name="HS code" sheetId="4" state="hidden" r:id="rId6"/>
    <sheet name="データ" sheetId="5" state="hidden" r:id="rId7"/>
    <sheet name="dia chỉ" sheetId="7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0" hidden="1">INVOICE!$A$30:$J$47</definedName>
    <definedName name="_xlnm._FilterDatabase" localSheetId="6" hidden="1">データ!$A$2:$P$107</definedName>
    <definedName name="_xlnm.Print_Area" localSheetId="0">INVOICE!$A$1:$K$52</definedName>
    <definedName name="_xlnm.Print_Area" localSheetId="2">'IV tong'!$A$1:$I$55</definedName>
    <definedName name="_xlnm.Print_Area" localSheetId="1">'PACKING LIST'!$A$1:$K$63</definedName>
    <definedName name="_xlnm.Print_Area" localSheetId="4">'Yeu cau thanh toan'!$A$1:$J$57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2" l="1"/>
  <c r="J49" i="2"/>
  <c r="E55" i="2" s="1"/>
  <c r="F44" i="8"/>
  <c r="H44" i="8" s="1"/>
  <c r="D44" i="8"/>
  <c r="D43" i="8"/>
  <c r="F47" i="2"/>
  <c r="G37" i="2"/>
  <c r="G40" i="2"/>
  <c r="I40" i="2" s="1"/>
  <c r="G41" i="2"/>
  <c r="G42" i="2"/>
  <c r="I42" i="2" s="1"/>
  <c r="G44" i="2"/>
  <c r="F36" i="2"/>
  <c r="F37" i="2"/>
  <c r="I37" i="2" s="1"/>
  <c r="F38" i="2"/>
  <c r="F39" i="2"/>
  <c r="F40" i="2"/>
  <c r="F41" i="2"/>
  <c r="I41" i="2" s="1"/>
  <c r="F42" i="2"/>
  <c r="F43" i="2"/>
  <c r="F44" i="2"/>
  <c r="I44" i="2" s="1"/>
  <c r="F45" i="2"/>
  <c r="I45" i="2" s="1"/>
  <c r="F46" i="2"/>
  <c r="B36" i="2"/>
  <c r="G36" i="2" s="1"/>
  <c r="I36" i="2" s="1"/>
  <c r="B37" i="2"/>
  <c r="B38" i="2"/>
  <c r="G38" i="2" s="1"/>
  <c r="I38" i="2" s="1"/>
  <c r="B39" i="2"/>
  <c r="G39" i="2" s="1"/>
  <c r="I39" i="2" s="1"/>
  <c r="B40" i="2"/>
  <c r="B41" i="2"/>
  <c r="B42" i="2"/>
  <c r="B43" i="2"/>
  <c r="G43" i="2" s="1"/>
  <c r="I43" i="2" s="1"/>
  <c r="B44" i="2"/>
  <c r="B45" i="2"/>
  <c r="B46" i="2"/>
  <c r="G46" i="2" s="1"/>
  <c r="B47" i="2"/>
  <c r="G47" i="2" s="1"/>
  <c r="G43" i="1"/>
  <c r="I43" i="1" s="1"/>
  <c r="E43" i="1"/>
  <c r="E45" i="2" s="1"/>
  <c r="G45" i="1"/>
  <c r="I45" i="1" s="1"/>
  <c r="E45" i="1"/>
  <c r="E47" i="2" s="1"/>
  <c r="I47" i="2" l="1"/>
  <c r="I46" i="2"/>
  <c r="D55" i="9"/>
  <c r="E36" i="9"/>
  <c r="E37" i="9"/>
  <c r="E38" i="9"/>
  <c r="E39" i="9"/>
  <c r="E40" i="9"/>
  <c r="E41" i="9"/>
  <c r="E42" i="9"/>
  <c r="E43" i="9"/>
  <c r="E44" i="9"/>
  <c r="B36" i="9"/>
  <c r="F36" i="9" s="1"/>
  <c r="H36" i="9" s="1"/>
  <c r="B37" i="9"/>
  <c r="F37" i="9" s="1"/>
  <c r="H37" i="9" s="1"/>
  <c r="B38" i="9"/>
  <c r="F38" i="9" s="1"/>
  <c r="H38" i="9" s="1"/>
  <c r="B39" i="9"/>
  <c r="F39" i="9" s="1"/>
  <c r="H39" i="9" s="1"/>
  <c r="B40" i="9"/>
  <c r="F40" i="9" s="1"/>
  <c r="H40" i="9" s="1"/>
  <c r="B41" i="9"/>
  <c r="F41" i="9" s="1"/>
  <c r="H41" i="9" s="1"/>
  <c r="B42" i="9"/>
  <c r="F42" i="9" s="1"/>
  <c r="H42" i="9" s="1"/>
  <c r="B43" i="9"/>
  <c r="F43" i="9" s="1"/>
  <c r="H43" i="9" s="1"/>
  <c r="B44" i="9"/>
  <c r="F44" i="9" s="1"/>
  <c r="H44" i="9" s="1"/>
  <c r="O44" i="9" s="1"/>
  <c r="H8" i="2"/>
  <c r="J54" i="5"/>
  <c r="H65" i="5"/>
  <c r="H66" i="5"/>
  <c r="H67" i="5"/>
  <c r="H68" i="5"/>
  <c r="G35" i="1"/>
  <c r="I35" i="1" s="1"/>
  <c r="E35" i="1"/>
  <c r="E37" i="2" s="1"/>
  <c r="E36" i="1"/>
  <c r="E38" i="2" s="1"/>
  <c r="E34" i="1"/>
  <c r="E36" i="2" s="1"/>
  <c r="L43" i="8" l="1"/>
  <c r="N43" i="8" s="1"/>
  <c r="L44" i="8"/>
  <c r="L45" i="8"/>
  <c r="N45" i="8" s="1"/>
  <c r="M43" i="8"/>
  <c r="O43" i="8"/>
  <c r="P43" i="8" s="1"/>
  <c r="O44" i="8"/>
  <c r="P44" i="8" s="1"/>
  <c r="M45" i="8"/>
  <c r="O45" i="8"/>
  <c r="P45" i="8" s="1"/>
  <c r="L46" i="8"/>
  <c r="M46" i="8"/>
  <c r="O46" i="8"/>
  <c r="P46" i="8" s="1"/>
  <c r="L47" i="8"/>
  <c r="M47" i="8"/>
  <c r="O47" i="8"/>
  <c r="P47" i="8" s="1"/>
  <c r="L48" i="8"/>
  <c r="M48" i="8"/>
  <c r="O48" i="8"/>
  <c r="P48" i="8" s="1"/>
  <c r="K43" i="8"/>
  <c r="K44" i="8"/>
  <c r="K45" i="8"/>
  <c r="K46" i="8"/>
  <c r="K47" i="8"/>
  <c r="K48" i="8"/>
  <c r="D44" i="9"/>
  <c r="L41" i="8"/>
  <c r="L42" i="8"/>
  <c r="K40" i="8"/>
  <c r="K41" i="8"/>
  <c r="K42" i="8"/>
  <c r="F43" i="8"/>
  <c r="H43" i="8" s="1"/>
  <c r="F42" i="8"/>
  <c r="H42" i="8" s="1"/>
  <c r="F41" i="8"/>
  <c r="H41" i="8" s="1"/>
  <c r="M35" i="8"/>
  <c r="M36" i="8"/>
  <c r="M37" i="8"/>
  <c r="M38" i="8"/>
  <c r="M39" i="8"/>
  <c r="M40" i="8"/>
  <c r="L35" i="8"/>
  <c r="L36" i="8"/>
  <c r="L37" i="8"/>
  <c r="L38" i="8"/>
  <c r="L39" i="8"/>
  <c r="L40" i="8"/>
  <c r="K35" i="8"/>
  <c r="K36" i="8"/>
  <c r="K37" i="8"/>
  <c r="K38" i="8"/>
  <c r="K39" i="8"/>
  <c r="K34" i="8"/>
  <c r="O42" i="8"/>
  <c r="P42" i="8" s="1"/>
  <c r="N47" i="8" l="1"/>
  <c r="N37" i="8"/>
  <c r="N40" i="8"/>
  <c r="N36" i="8"/>
  <c r="N39" i="8"/>
  <c r="N35" i="8"/>
  <c r="N38" i="8"/>
  <c r="N46" i="8"/>
  <c r="N48" i="8"/>
  <c r="G40" i="1"/>
  <c r="I40" i="1" s="1"/>
  <c r="E40" i="1"/>
  <c r="E42" i="2" s="1"/>
  <c r="G44" i="1"/>
  <c r="I44" i="1" s="1"/>
  <c r="E44" i="1"/>
  <c r="E46" i="2" s="1"/>
  <c r="D41" i="8"/>
  <c r="D42" i="9" s="1"/>
  <c r="D42" i="8"/>
  <c r="D43" i="9" s="1"/>
  <c r="G36" i="1" l="1"/>
  <c r="I36" i="1" s="1"/>
  <c r="F39" i="8"/>
  <c r="H39" i="8" s="1"/>
  <c r="D39" i="8"/>
  <c r="D40" i="9" s="1"/>
  <c r="F40" i="8"/>
  <c r="H40" i="8" s="1"/>
  <c r="D40" i="8"/>
  <c r="D41" i="9" s="1"/>
  <c r="J47" i="10"/>
  <c r="J45" i="10"/>
  <c r="J35" i="10"/>
  <c r="J37" i="10"/>
  <c r="J39" i="10"/>
  <c r="J41" i="10"/>
  <c r="J43" i="10"/>
  <c r="J29" i="10"/>
  <c r="H47" i="10"/>
  <c r="I47" i="10" s="1"/>
  <c r="O47" i="9"/>
  <c r="L46" i="9"/>
  <c r="F34" i="8"/>
  <c r="G33" i="1"/>
  <c r="K46" i="2" l="1"/>
  <c r="K44" i="2"/>
  <c r="K42" i="2"/>
  <c r="K41" i="2"/>
  <c r="L47" i="9"/>
  <c r="M47" i="9" s="1"/>
  <c r="L45" i="9"/>
  <c r="M45" i="9" s="1"/>
  <c r="O45" i="9"/>
  <c r="O46" i="9"/>
  <c r="M46" i="9"/>
  <c r="K40" i="2" l="1"/>
  <c r="K43" i="2"/>
  <c r="K37" i="2"/>
  <c r="H45" i="10"/>
  <c r="I45" i="10" s="1"/>
  <c r="G41" i="1"/>
  <c r="I41" i="1" s="1"/>
  <c r="E39" i="1"/>
  <c r="E41" i="2" s="1"/>
  <c r="E41" i="1"/>
  <c r="E43" i="2" s="1"/>
  <c r="G37" i="1"/>
  <c r="I37" i="1" s="1"/>
  <c r="G38" i="1"/>
  <c r="I38" i="1" s="1"/>
  <c r="G39" i="1"/>
  <c r="I39" i="1" s="1"/>
  <c r="E37" i="1"/>
  <c r="E39" i="2" s="1"/>
  <c r="J33" i="10"/>
  <c r="G42" i="1"/>
  <c r="I42" i="1" s="1"/>
  <c r="E42" i="1"/>
  <c r="E44" i="2" s="1"/>
  <c r="J31" i="10"/>
  <c r="F8" i="8" l="1"/>
  <c r="C99" i="5" l="1"/>
  <c r="C100" i="5"/>
  <c r="C101" i="5"/>
  <c r="C102" i="5"/>
  <c r="C103" i="5"/>
  <c r="C98" i="5"/>
  <c r="G98" i="5"/>
  <c r="J98" i="5" s="1"/>
  <c r="H98" i="5"/>
  <c r="G99" i="5"/>
  <c r="J99" i="5" s="1"/>
  <c r="H99" i="5"/>
  <c r="G100" i="5"/>
  <c r="J100" i="5" s="1"/>
  <c r="H100" i="5"/>
  <c r="G101" i="5"/>
  <c r="J101" i="5" s="1"/>
  <c r="H101" i="5"/>
  <c r="G102" i="5"/>
  <c r="J102" i="5" s="1"/>
  <c r="H102" i="5"/>
  <c r="G103" i="5"/>
  <c r="J103" i="5" s="1"/>
  <c r="H103" i="5"/>
  <c r="H29" i="10"/>
  <c r="H43" i="10"/>
  <c r="I43" i="10" s="1"/>
  <c r="H41" i="10"/>
  <c r="I41" i="10" s="1"/>
  <c r="K98" i="5" l="1"/>
  <c r="K103" i="5"/>
  <c r="K101" i="5"/>
  <c r="K100" i="5"/>
  <c r="K99" i="5"/>
  <c r="K102" i="5"/>
  <c r="E38" i="1"/>
  <c r="E40" i="2" s="1"/>
  <c r="G34" i="1"/>
  <c r="I34" i="1" s="1"/>
  <c r="G8" i="9"/>
  <c r="F95" i="5" l="1"/>
  <c r="G95" i="5" s="1"/>
  <c r="J95" i="5" s="1"/>
  <c r="F96" i="5"/>
  <c r="H96" i="5" s="1"/>
  <c r="F97" i="5"/>
  <c r="H97" i="5" s="1"/>
  <c r="F106" i="5"/>
  <c r="G106" i="5" s="1"/>
  <c r="J106" i="5" s="1"/>
  <c r="F107" i="5"/>
  <c r="G107" i="5" s="1"/>
  <c r="J107" i="5" s="1"/>
  <c r="F108" i="5"/>
  <c r="H108" i="5" s="1"/>
  <c r="F109" i="5"/>
  <c r="F110" i="5"/>
  <c r="G110" i="5" s="1"/>
  <c r="J110" i="5" s="1"/>
  <c r="O40" i="8"/>
  <c r="P40" i="8" s="1"/>
  <c r="O41" i="8"/>
  <c r="P41" i="8" s="1"/>
  <c r="H106" i="5" l="1"/>
  <c r="K106" i="5" s="1"/>
  <c r="H107" i="5"/>
  <c r="K107" i="5" s="1"/>
  <c r="G96" i="5"/>
  <c r="J96" i="5" s="1"/>
  <c r="K96" i="5" s="1"/>
  <c r="H110" i="5"/>
  <c r="K110" i="5" s="1"/>
  <c r="G108" i="5"/>
  <c r="J108" i="5" s="1"/>
  <c r="K108" i="5" s="1"/>
  <c r="H95" i="5"/>
  <c r="K95" i="5" s="1"/>
  <c r="G109" i="5"/>
  <c r="J109" i="5" s="1"/>
  <c r="G97" i="5"/>
  <c r="J97" i="5" s="1"/>
  <c r="K97" i="5" s="1"/>
  <c r="D109" i="5"/>
  <c r="K45" i="2" l="1"/>
  <c r="M44" i="8"/>
  <c r="N44" i="8" s="1"/>
  <c r="H109" i="5"/>
  <c r="K109" i="5" s="1"/>
  <c r="O34" i="8"/>
  <c r="O42" i="9"/>
  <c r="O43" i="9"/>
  <c r="O48" i="9" l="1"/>
  <c r="F37" i="8" l="1"/>
  <c r="H37" i="8" s="1"/>
  <c r="F38" i="8"/>
  <c r="H38" i="8" s="1"/>
  <c r="H31" i="10" l="1"/>
  <c r="H33" i="10"/>
  <c r="H35" i="10"/>
  <c r="H37" i="10"/>
  <c r="H39" i="10"/>
  <c r="C33" i="10"/>
  <c r="A34" i="10"/>
  <c r="D34" i="8"/>
  <c r="A35" i="8"/>
  <c r="A36" i="8" s="1"/>
  <c r="A37" i="8" s="1"/>
  <c r="A38" i="8" s="1"/>
  <c r="A39" i="8" l="1"/>
  <c r="A40" i="8" s="1"/>
  <c r="A41" i="8" s="1"/>
  <c r="A42" i="8" s="1"/>
  <c r="A43" i="8" s="1"/>
  <c r="A42" i="10"/>
  <c r="A48" i="10" s="1"/>
  <c r="C41" i="10"/>
  <c r="C47" i="10" s="1"/>
  <c r="K36" i="2"/>
  <c r="I39" i="10"/>
  <c r="O35" i="8"/>
  <c r="O37" i="8"/>
  <c r="O38" i="8"/>
  <c r="O39" i="8"/>
  <c r="P34" i="8"/>
  <c r="A44" i="8" l="1"/>
  <c r="A45" i="8" s="1"/>
  <c r="A46" i="8" s="1"/>
  <c r="A47" i="8" s="1"/>
  <c r="A48" i="8" s="1"/>
  <c r="O36" i="8"/>
  <c r="P36" i="8" s="1"/>
  <c r="P35" i="8"/>
  <c r="P37" i="8"/>
  <c r="P38" i="8"/>
  <c r="P39" i="8"/>
  <c r="M34" i="8"/>
  <c r="H5" i="2" l="1"/>
  <c r="F35" i="2" l="1"/>
  <c r="E35" i="9"/>
  <c r="B35" i="9"/>
  <c r="F35" i="9" s="1"/>
  <c r="H34" i="8"/>
  <c r="D35" i="9"/>
  <c r="H35" i="9" l="1"/>
  <c r="O35" i="9" s="1"/>
  <c r="L35" i="9"/>
  <c r="M35" i="9" s="1"/>
  <c r="J35" i="9" s="1"/>
  <c r="D38" i="8" l="1"/>
  <c r="D39" i="9" s="1"/>
  <c r="L37" i="9" l="1"/>
  <c r="F5" i="8"/>
  <c r="I33" i="1"/>
  <c r="I46" i="1" s="1"/>
  <c r="I49" i="9"/>
  <c r="E54" i="9" s="1"/>
  <c r="A36" i="9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D37" i="8"/>
  <c r="D38" i="9" s="1"/>
  <c r="L38" i="9"/>
  <c r="L39" i="9"/>
  <c r="O36" i="9" l="1"/>
  <c r="O40" i="9"/>
  <c r="M38" i="9"/>
  <c r="M37" i="9"/>
  <c r="L36" i="9"/>
  <c r="M36" i="9" s="1"/>
  <c r="J36" i="9" s="1"/>
  <c r="M39" i="9"/>
  <c r="L40" i="9"/>
  <c r="M40" i="9" s="1"/>
  <c r="I31" i="10"/>
  <c r="I29" i="10"/>
  <c r="I33" i="10"/>
  <c r="C31" i="10"/>
  <c r="C39" i="10" s="1"/>
  <c r="J40" i="9" l="1"/>
  <c r="C45" i="10"/>
  <c r="O39" i="9"/>
  <c r="J39" i="9" s="1"/>
  <c r="O38" i="9"/>
  <c r="J38" i="9" s="1"/>
  <c r="O37" i="9"/>
  <c r="J37" i="9" s="1"/>
  <c r="F35" i="8" l="1"/>
  <c r="F36" i="8"/>
  <c r="D9" i="5" l="1"/>
  <c r="M41" i="8" s="1"/>
  <c r="N41" i="8" s="1"/>
  <c r="D34" i="5"/>
  <c r="D33" i="5"/>
  <c r="D32" i="5"/>
  <c r="D31" i="5"/>
  <c r="D30" i="5"/>
  <c r="D29" i="5"/>
  <c r="K47" i="2" s="1"/>
  <c r="L34" i="8"/>
  <c r="N34" i="8" s="1"/>
  <c r="M42" i="8" l="1"/>
  <c r="N42" i="8" s="1"/>
  <c r="K39" i="2"/>
  <c r="K38" i="2"/>
  <c r="L44" i="9"/>
  <c r="M44" i="9" s="1"/>
  <c r="J44" i="9" s="1"/>
  <c r="L43" i="9"/>
  <c r="M43" i="9" s="1"/>
  <c r="J43" i="9" s="1"/>
  <c r="L42" i="9"/>
  <c r="M42" i="9" s="1"/>
  <c r="J42" i="9" s="1"/>
  <c r="L48" i="9"/>
  <c r="M48" i="9" s="1"/>
  <c r="B35" i="2"/>
  <c r="F47" i="5" l="1"/>
  <c r="F43" i="5"/>
  <c r="F48" i="5"/>
  <c r="F45" i="5"/>
  <c r="F49" i="5"/>
  <c r="G35" i="2"/>
  <c r="I35" i="2" s="1"/>
  <c r="F46" i="5"/>
  <c r="F53" i="5"/>
  <c r="F29" i="5"/>
  <c r="F55" i="5"/>
  <c r="F60" i="5"/>
  <c r="F24" i="5"/>
  <c r="F15" i="5"/>
  <c r="F37" i="5"/>
  <c r="F30" i="5"/>
  <c r="F25" i="5"/>
  <c r="F18" i="5"/>
  <c r="F39" i="5"/>
  <c r="F13" i="5"/>
  <c r="F9" i="5"/>
  <c r="F50" i="5"/>
  <c r="G50" i="5" s="1"/>
  <c r="F20" i="5"/>
  <c r="F40" i="5"/>
  <c r="F38" i="5"/>
  <c r="F21" i="5"/>
  <c r="F19" i="5"/>
  <c r="F27" i="5"/>
  <c r="F44" i="5"/>
  <c r="F59" i="5"/>
  <c r="F35" i="5"/>
  <c r="F16" i="5"/>
  <c r="F36" i="5"/>
  <c r="F56" i="5"/>
  <c r="F22" i="5"/>
  <c r="F26" i="5"/>
  <c r="F33" i="5"/>
  <c r="F54" i="5"/>
  <c r="H54" i="5" s="1"/>
  <c r="F28" i="5"/>
  <c r="F32" i="5"/>
  <c r="F8" i="5"/>
  <c r="F31" i="5"/>
  <c r="F52" i="5"/>
  <c r="G52" i="5" s="1"/>
  <c r="F23" i="5"/>
  <c r="F10" i="5"/>
  <c r="F34" i="5"/>
  <c r="F17" i="5"/>
  <c r="F57" i="5"/>
  <c r="F41" i="5"/>
  <c r="F12" i="5"/>
  <c r="F51" i="5"/>
  <c r="G51" i="5" s="1"/>
  <c r="F11" i="5"/>
  <c r="H11" i="5" s="1"/>
  <c r="F14" i="5"/>
  <c r="F42" i="5"/>
  <c r="H42" i="5" s="1"/>
  <c r="F76" i="5"/>
  <c r="F78" i="5"/>
  <c r="F75" i="5"/>
  <c r="F77" i="5"/>
  <c r="H53" i="5" l="1"/>
  <c r="G53" i="5"/>
  <c r="J53" i="5" s="1"/>
  <c r="G48" i="5"/>
  <c r="J48" i="5" s="1"/>
  <c r="H48" i="5"/>
  <c r="G49" i="5"/>
  <c r="J49" i="5" s="1"/>
  <c r="H49" i="5"/>
  <c r="G11" i="5"/>
  <c r="J11" i="5" s="1"/>
  <c r="K11" i="5" s="1"/>
  <c r="G42" i="5"/>
  <c r="J42" i="5" s="1"/>
  <c r="K42" i="5" s="1"/>
  <c r="H18" i="5"/>
  <c r="G18" i="5"/>
  <c r="J18" i="5" s="1"/>
  <c r="H16" i="5"/>
  <c r="G16" i="5"/>
  <c r="J16" i="5" s="1"/>
  <c r="H15" i="5"/>
  <c r="G15" i="5"/>
  <c r="J15" i="5" s="1"/>
  <c r="H17" i="5"/>
  <c r="G17" i="5"/>
  <c r="J17" i="5" s="1"/>
  <c r="H21" i="5"/>
  <c r="G21" i="5"/>
  <c r="J21" i="5" s="1"/>
  <c r="H12" i="5"/>
  <c r="G12" i="5"/>
  <c r="J12" i="5" s="1"/>
  <c r="H14" i="5"/>
  <c r="G14" i="5"/>
  <c r="J14" i="5" s="1"/>
  <c r="H75" i="5"/>
  <c r="K75" i="5" s="1"/>
  <c r="G75" i="5"/>
  <c r="G78" i="5"/>
  <c r="H78" i="5"/>
  <c r="K78" i="5" s="1"/>
  <c r="H76" i="5"/>
  <c r="K76" i="5" s="1"/>
  <c r="G76" i="5"/>
  <c r="H77" i="5"/>
  <c r="K77" i="5" s="1"/>
  <c r="G77" i="5"/>
  <c r="K12" i="5" l="1"/>
  <c r="K17" i="5"/>
  <c r="K16" i="5"/>
  <c r="K14" i="5"/>
  <c r="K21" i="5"/>
  <c r="K15" i="5"/>
  <c r="K18" i="5"/>
  <c r="F87" i="5"/>
  <c r="F88" i="5"/>
  <c r="F89" i="5"/>
  <c r="F90" i="5"/>
  <c r="F91" i="5"/>
  <c r="F92" i="5"/>
  <c r="F93" i="5"/>
  <c r="F94" i="5"/>
  <c r="G94" i="5" s="1"/>
  <c r="J94" i="5" s="1"/>
  <c r="O41" i="9" l="1"/>
  <c r="L41" i="9"/>
  <c r="M41" i="9" s="1"/>
  <c r="J41" i="9" s="1"/>
  <c r="J49" i="9" s="1"/>
  <c r="H94" i="5"/>
  <c r="K94" i="5" s="1"/>
  <c r="G5" i="9" l="1"/>
  <c r="C37" i="10"/>
  <c r="C35" i="10"/>
  <c r="C43" i="10" s="1"/>
  <c r="D54" i="9" l="1"/>
  <c r="A38" i="10"/>
  <c r="A36" i="10"/>
  <c r="A44" i="10" s="1"/>
  <c r="A32" i="10"/>
  <c r="A40" i="10" s="1"/>
  <c r="A46" i="10" l="1"/>
  <c r="G93" i="5" l="1"/>
  <c r="J93" i="5" s="1"/>
  <c r="H92" i="5"/>
  <c r="H91" i="5"/>
  <c r="H90" i="5"/>
  <c r="H89" i="5"/>
  <c r="H88" i="5"/>
  <c r="H87" i="5"/>
  <c r="F86" i="5"/>
  <c r="H86" i="5" s="1"/>
  <c r="F85" i="5"/>
  <c r="H85" i="5" s="1"/>
  <c r="F84" i="5"/>
  <c r="G84" i="5" s="1"/>
  <c r="J84" i="5" s="1"/>
  <c r="F83" i="5"/>
  <c r="H83" i="5" s="1"/>
  <c r="F82" i="5"/>
  <c r="H82" i="5" s="1"/>
  <c r="F81" i="5"/>
  <c r="H81" i="5" s="1"/>
  <c r="F80" i="5"/>
  <c r="G80" i="5" s="1"/>
  <c r="J80" i="5" s="1"/>
  <c r="F79" i="5"/>
  <c r="H79" i="5" s="1"/>
  <c r="G79" i="5" l="1"/>
  <c r="J79" i="5" s="1"/>
  <c r="K79" i="5" s="1"/>
  <c r="G83" i="5"/>
  <c r="J83" i="5" s="1"/>
  <c r="K83" i="5" s="1"/>
  <c r="G91" i="5"/>
  <c r="J91" i="5" s="1"/>
  <c r="K91" i="5" s="1"/>
  <c r="H80" i="5"/>
  <c r="K80" i="5" s="1"/>
  <c r="H84" i="5"/>
  <c r="K84" i="5" s="1"/>
  <c r="G86" i="5"/>
  <c r="J86" i="5" s="1"/>
  <c r="K86" i="5" s="1"/>
  <c r="G87" i="5"/>
  <c r="J87" i="5" s="1"/>
  <c r="K87" i="5" s="1"/>
  <c r="G90" i="5"/>
  <c r="J90" i="5" s="1"/>
  <c r="K90" i="5" s="1"/>
  <c r="G89" i="5"/>
  <c r="J89" i="5" s="1"/>
  <c r="K89" i="5" s="1"/>
  <c r="G81" i="5"/>
  <c r="J81" i="5" s="1"/>
  <c r="K81" i="5" s="1"/>
  <c r="G85" i="5"/>
  <c r="J85" i="5" s="1"/>
  <c r="K85" i="5" s="1"/>
  <c r="G88" i="5"/>
  <c r="J88" i="5" s="1"/>
  <c r="K88" i="5" s="1"/>
  <c r="H93" i="5"/>
  <c r="K93" i="5" s="1"/>
  <c r="G82" i="5"/>
  <c r="J82" i="5" s="1"/>
  <c r="K82" i="5" s="1"/>
  <c r="G92" i="5"/>
  <c r="J92" i="5" s="1"/>
  <c r="K92" i="5" s="1"/>
  <c r="H36" i="8" l="1"/>
  <c r="H35" i="8"/>
  <c r="D35" i="8"/>
  <c r="D36" i="9" s="1"/>
  <c r="D36" i="8"/>
  <c r="D37" i="9" s="1"/>
  <c r="H49" i="8" l="1"/>
  <c r="E51" i="9"/>
  <c r="E53" i="9" s="1"/>
  <c r="H51" i="9"/>
  <c r="E49" i="9"/>
  <c r="D53" i="9" s="1"/>
  <c r="H49" i="9"/>
  <c r="F73" i="5"/>
  <c r="F74" i="5"/>
  <c r="H74" i="5" s="1"/>
  <c r="K35" i="2" l="1"/>
  <c r="K49" i="2" s="1"/>
  <c r="D55" i="2" s="1"/>
  <c r="G73" i="5"/>
  <c r="H73" i="5"/>
  <c r="K73" i="5" s="1"/>
  <c r="G74" i="5"/>
  <c r="K74" i="5" s="1"/>
  <c r="I37" i="10"/>
  <c r="I35" i="10"/>
  <c r="I51" i="10" l="1"/>
  <c r="E33" i="1"/>
  <c r="E35" i="2" s="1"/>
  <c r="F49" i="2" l="1"/>
  <c r="D54" i="2" s="1"/>
  <c r="I51" i="2"/>
  <c r="I49" i="2"/>
  <c r="F51" i="2"/>
  <c r="E54" i="2" s="1"/>
  <c r="F52" i="2"/>
  <c r="F54" i="2" s="1"/>
  <c r="F6" i="5" l="1"/>
  <c r="H44" i="5"/>
  <c r="H50" i="5"/>
  <c r="H52" i="5"/>
  <c r="F61" i="5"/>
  <c r="F69" i="5"/>
  <c r="H69" i="5" s="1"/>
  <c r="F3" i="5"/>
  <c r="F7" i="5"/>
  <c r="H43" i="5"/>
  <c r="H47" i="5"/>
  <c r="H56" i="5"/>
  <c r="F64" i="5"/>
  <c r="H64" i="5" s="1"/>
  <c r="F72" i="5"/>
  <c r="H72" i="5" s="1"/>
  <c r="H45" i="5"/>
  <c r="H51" i="5"/>
  <c r="F62" i="5"/>
  <c r="H62" i="5" s="1"/>
  <c r="F70" i="5"/>
  <c r="H70" i="5" s="1"/>
  <c r="F4" i="5"/>
  <c r="H29" i="5"/>
  <c r="H46" i="5"/>
  <c r="H55" i="5"/>
  <c r="F63" i="5"/>
  <c r="H63" i="5" s="1"/>
  <c r="F71" i="5"/>
  <c r="H71" i="5" s="1"/>
  <c r="F5" i="5"/>
  <c r="G59" i="5" l="1"/>
  <c r="J59" i="5" s="1"/>
  <c r="H59" i="5"/>
  <c r="G60" i="5"/>
  <c r="J60" i="5" s="1"/>
  <c r="H60" i="5"/>
  <c r="G57" i="5"/>
  <c r="J57" i="5" s="1"/>
  <c r="H57" i="5"/>
  <c r="D61" i="5"/>
  <c r="H61" i="5" s="1"/>
  <c r="K57" i="5" l="1"/>
  <c r="K59" i="5"/>
  <c r="K60" i="5"/>
  <c r="G63" i="5"/>
  <c r="J63" i="5" s="1"/>
  <c r="G64" i="5"/>
  <c r="J64" i="5" s="1"/>
  <c r="G72" i="5"/>
  <c r="J72" i="5" s="1"/>
  <c r="G69" i="5"/>
  <c r="J69" i="5" s="1"/>
  <c r="G61" i="5"/>
  <c r="J61" i="5" s="1"/>
  <c r="K63" i="5" l="1"/>
  <c r="K69" i="5"/>
  <c r="K61" i="5"/>
  <c r="G70" i="5"/>
  <c r="J70" i="5" s="1"/>
  <c r="K70" i="5" s="1"/>
  <c r="J71" i="5"/>
  <c r="K71" i="5" s="1"/>
  <c r="K64" i="5"/>
  <c r="K72" i="5"/>
  <c r="G62" i="5" l="1"/>
  <c r="J62" i="5" s="1"/>
  <c r="C4" i="5"/>
  <c r="C7" i="5"/>
  <c r="K62" i="5" l="1"/>
  <c r="C6" i="5"/>
  <c r="C8" i="5"/>
  <c r="A53" i="2" l="1"/>
  <c r="O55" i="10" l="1"/>
  <c r="P55" i="10" s="1"/>
  <c r="O54" i="10"/>
  <c r="P54" i="10" s="1"/>
  <c r="O53" i="10"/>
  <c r="P53" i="10" s="1"/>
  <c r="O52" i="10"/>
  <c r="P52" i="10" s="1"/>
  <c r="O51" i="10"/>
  <c r="P51" i="10" s="1"/>
  <c r="O40" i="10"/>
  <c r="P40" i="10" s="1"/>
  <c r="O39" i="10"/>
  <c r="P39" i="10" s="1"/>
  <c r="O38" i="10"/>
  <c r="P38" i="10" s="1"/>
  <c r="O37" i="10"/>
  <c r="P37" i="10" s="1"/>
  <c r="O36" i="10"/>
  <c r="P36" i="10" s="1"/>
  <c r="O35" i="10"/>
  <c r="P35" i="10" s="1"/>
  <c r="O32" i="10"/>
  <c r="P32" i="10" s="1"/>
  <c r="O31" i="10"/>
  <c r="P31" i="10" s="1"/>
  <c r="O30" i="10"/>
  <c r="P30" i="10" s="1"/>
  <c r="H23" i="10"/>
  <c r="D23" i="10"/>
  <c r="I52" i="10" l="1"/>
  <c r="I53" i="10" s="1"/>
  <c r="E23" i="10" s="1"/>
  <c r="F23" i="10" l="1"/>
  <c r="G23" i="10" s="1"/>
  <c r="I23" i="10" s="1"/>
  <c r="G47" i="5" l="1"/>
  <c r="J47" i="5" s="1"/>
  <c r="K47" i="5" l="1"/>
  <c r="F94" i="9" l="1"/>
  <c r="I94" i="9" s="1"/>
  <c r="F93" i="9"/>
  <c r="I93" i="9" s="1"/>
  <c r="F92" i="9"/>
  <c r="I92" i="9" s="1"/>
  <c r="I91" i="9"/>
  <c r="G91" i="9"/>
  <c r="B91" i="9"/>
  <c r="I90" i="9"/>
  <c r="G90" i="9"/>
  <c r="F89" i="9"/>
  <c r="I89" i="9" s="1"/>
  <c r="I88" i="9"/>
  <c r="G88" i="9"/>
  <c r="I87" i="9"/>
  <c r="G87" i="9"/>
  <c r="F86" i="9"/>
  <c r="E86" i="9"/>
  <c r="I85" i="9"/>
  <c r="F85" i="9"/>
  <c r="E85" i="9"/>
  <c r="B85" i="9"/>
  <c r="F83" i="9"/>
  <c r="G83" i="9" s="1"/>
  <c r="J83" i="9" s="1"/>
  <c r="C83" i="9"/>
  <c r="J82" i="9"/>
  <c r="C82" i="9"/>
  <c r="I81" i="9"/>
  <c r="G81" i="9"/>
  <c r="I80" i="9"/>
  <c r="F80" i="9"/>
  <c r="G80" i="9" s="1"/>
  <c r="I79" i="9"/>
  <c r="G79" i="9"/>
  <c r="C79" i="9"/>
  <c r="I78" i="9"/>
  <c r="G78" i="9"/>
  <c r="I77" i="9"/>
  <c r="I76" i="9"/>
  <c r="G76" i="9"/>
  <c r="I75" i="9"/>
  <c r="G75" i="9"/>
  <c r="I72" i="9"/>
  <c r="H72" i="9"/>
  <c r="I70" i="9"/>
  <c r="H70" i="9"/>
  <c r="F70" i="9"/>
  <c r="G70" i="9" s="1"/>
  <c r="I69" i="9"/>
  <c r="H69" i="9"/>
  <c r="F69" i="9"/>
  <c r="G69" i="9" s="1"/>
  <c r="F74" i="9"/>
  <c r="F71" i="9"/>
  <c r="G71" i="9" s="1"/>
  <c r="J76" i="9" l="1"/>
  <c r="J81" i="9"/>
  <c r="I86" i="9"/>
  <c r="G86" i="9"/>
  <c r="J87" i="9"/>
  <c r="J88" i="9"/>
  <c r="J75" i="9"/>
  <c r="J79" i="9"/>
  <c r="J78" i="9"/>
  <c r="G85" i="9"/>
  <c r="J85" i="9" s="1"/>
  <c r="J91" i="9"/>
  <c r="J70" i="9"/>
  <c r="J80" i="9"/>
  <c r="J90" i="9"/>
  <c r="I74" i="9"/>
  <c r="G74" i="9"/>
  <c r="K70" i="9"/>
  <c r="J69" i="9"/>
  <c r="F72" i="9"/>
  <c r="G72" i="9" s="1"/>
  <c r="J72" i="9" s="1"/>
  <c r="F77" i="9"/>
  <c r="G77" i="9" s="1"/>
  <c r="J77" i="9" s="1"/>
  <c r="F84" i="9"/>
  <c r="G84" i="9" s="1"/>
  <c r="J84" i="9" s="1"/>
  <c r="G92" i="9"/>
  <c r="J92" i="9" s="1"/>
  <c r="G93" i="9"/>
  <c r="J93" i="9" s="1"/>
  <c r="G94" i="9"/>
  <c r="J94" i="9" s="1"/>
  <c r="F73" i="9"/>
  <c r="G73" i="9" s="1"/>
  <c r="G89" i="9"/>
  <c r="J89" i="9" s="1"/>
  <c r="J86" i="9" l="1"/>
  <c r="I71" i="9"/>
  <c r="H71" i="9"/>
  <c r="I73" i="9"/>
  <c r="H73" i="9"/>
  <c r="J74" i="9"/>
  <c r="J73" i="9" l="1"/>
  <c r="J71" i="9"/>
  <c r="G38" i="5" l="1"/>
  <c r="J38" i="5" s="1"/>
  <c r="H38" i="5" l="1"/>
  <c r="K38" i="5" s="1"/>
  <c r="G37" i="5"/>
  <c r="H37" i="5"/>
  <c r="J50" i="5"/>
  <c r="G55" i="5"/>
  <c r="J55" i="5" s="1"/>
  <c r="G46" i="5"/>
  <c r="J46" i="5" s="1"/>
  <c r="G56" i="5"/>
  <c r="J56" i="5" s="1"/>
  <c r="J51" i="5"/>
  <c r="K46" i="5" l="1"/>
  <c r="K55" i="5"/>
  <c r="K50" i="5"/>
  <c r="K56" i="5"/>
  <c r="K51" i="5"/>
  <c r="J37" i="5"/>
  <c r="K37" i="5" s="1"/>
  <c r="A6" i="5"/>
  <c r="A7" i="5" s="1"/>
  <c r="A8" i="5" s="1"/>
  <c r="A9" i="5" s="1"/>
  <c r="A10" i="5" s="1"/>
  <c r="A11" i="5" s="1"/>
  <c r="A13" i="5" l="1"/>
  <c r="A19" i="5" s="1"/>
  <c r="A21" i="5" s="1"/>
  <c r="A12" i="5"/>
  <c r="A14" i="5" s="1"/>
  <c r="A20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9" i="5" s="1"/>
  <c r="A40" i="5" s="1"/>
  <c r="A41" i="5" s="1"/>
  <c r="A43" i="5" l="1"/>
  <c r="A44" i="5" s="1"/>
  <c r="A45" i="5" s="1"/>
  <c r="A50" i="5" s="1"/>
  <c r="A51" i="5" s="1"/>
  <c r="A55" i="5" s="1"/>
  <c r="A52" i="5" s="1"/>
  <c r="A57" i="5" s="1"/>
  <c r="A59" i="5" s="1"/>
  <c r="A60" i="5" s="1"/>
  <c r="A63" i="5" s="1"/>
  <c r="A64" i="5" s="1"/>
  <c r="A69" i="5" s="1"/>
  <c r="A70" i="5" s="1"/>
  <c r="A71" i="5" s="1"/>
  <c r="A72" i="5" s="1"/>
  <c r="A73" i="5" s="1"/>
  <c r="A74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106" i="5" s="1"/>
  <c r="A107" i="5" s="1"/>
  <c r="A42" i="5"/>
  <c r="G7" i="5" l="1"/>
  <c r="G41" i="5"/>
  <c r="H3" i="5"/>
  <c r="G4" i="5"/>
  <c r="G8" i="5"/>
  <c r="G19" i="5"/>
  <c r="G9" i="5"/>
  <c r="H9" i="5" s="1"/>
  <c r="G20" i="5"/>
  <c r="G45" i="5"/>
  <c r="J45" i="5" s="1"/>
  <c r="J8" i="5" l="1"/>
  <c r="I8" i="5"/>
  <c r="J52" i="5"/>
  <c r="H8" i="5"/>
  <c r="G43" i="5"/>
  <c r="J43" i="5" s="1"/>
  <c r="H41" i="5"/>
  <c r="K52" i="5" l="1"/>
  <c r="K43" i="5"/>
  <c r="J41" i="5"/>
  <c r="K41" i="5" s="1"/>
  <c r="K8" i="5" l="1"/>
  <c r="A4" i="5" l="1"/>
  <c r="H6" i="5" l="1"/>
  <c r="G10" i="5"/>
  <c r="G13" i="5"/>
  <c r="G6" i="5" l="1"/>
  <c r="H7" i="5"/>
  <c r="G5" i="5"/>
  <c r="H5" i="5"/>
  <c r="H10" i="5"/>
  <c r="H13" i="5"/>
  <c r="J13" i="5"/>
  <c r="J10" i="5"/>
  <c r="J6" i="5" l="1"/>
  <c r="I6" i="5"/>
  <c r="I7" i="5"/>
  <c r="J7" i="5"/>
  <c r="K45" i="5"/>
  <c r="J5" i="5"/>
  <c r="I5" i="5"/>
  <c r="K10" i="5"/>
  <c r="K13" i="5"/>
  <c r="K6" i="5" l="1"/>
  <c r="K7" i="5"/>
  <c r="K5" i="5"/>
  <c r="P36" i="5" l="1"/>
  <c r="G25" i="5" l="1"/>
  <c r="H25" i="5"/>
  <c r="G3" i="5"/>
  <c r="I3" i="5" s="1"/>
  <c r="J3" i="5" l="1"/>
  <c r="J25" i="5"/>
  <c r="K25" i="5" s="1"/>
  <c r="G44" i="5"/>
  <c r="J44" i="5" s="1"/>
  <c r="G39" i="5"/>
  <c r="H39" i="5"/>
  <c r="H19" i="5"/>
  <c r="G40" i="5"/>
  <c r="H40" i="5"/>
  <c r="G36" i="5"/>
  <c r="H36" i="5"/>
  <c r="G33" i="5"/>
  <c r="J33" i="5" s="1"/>
  <c r="H33" i="5"/>
  <c r="G30" i="5"/>
  <c r="H30" i="5"/>
  <c r="G32" i="5"/>
  <c r="H32" i="5"/>
  <c r="G35" i="5"/>
  <c r="H35" i="5"/>
  <c r="G26" i="5"/>
  <c r="J26" i="5" s="1"/>
  <c r="H26" i="5"/>
  <c r="G29" i="5"/>
  <c r="G31" i="5"/>
  <c r="H31" i="5"/>
  <c r="J20" i="5"/>
  <c r="H20" i="5"/>
  <c r="G28" i="5"/>
  <c r="J28" i="5" s="1"/>
  <c r="H28" i="5"/>
  <c r="H4" i="5"/>
  <c r="J9" i="5"/>
  <c r="K9" i="5" s="1"/>
  <c r="G34" i="5"/>
  <c r="J34" i="5" s="1"/>
  <c r="H34" i="5"/>
  <c r="G27" i="5"/>
  <c r="H27" i="5"/>
  <c r="G24" i="5"/>
  <c r="H24" i="5"/>
  <c r="G22" i="5"/>
  <c r="H22" i="5"/>
  <c r="G23" i="5"/>
  <c r="H23" i="5"/>
  <c r="J22" i="5" l="1"/>
  <c r="K22" i="5" s="1"/>
  <c r="J23" i="5"/>
  <c r="K23" i="5" s="1"/>
  <c r="I4" i="5"/>
  <c r="J19" i="5"/>
  <c r="K19" i="5" s="1"/>
  <c r="J32" i="5"/>
  <c r="K32" i="5" s="1"/>
  <c r="J31" i="5"/>
  <c r="K31" i="5" s="1"/>
  <c r="J27" i="5"/>
  <c r="K27" i="5" s="1"/>
  <c r="J40" i="5"/>
  <c r="K40" i="5" s="1"/>
  <c r="J24" i="5"/>
  <c r="K24" i="5" s="1"/>
  <c r="J30" i="5"/>
  <c r="K30" i="5" s="1"/>
  <c r="J36" i="5"/>
  <c r="K36" i="5" s="1"/>
  <c r="J29" i="5"/>
  <c r="K29" i="5" s="1"/>
  <c r="J39" i="5"/>
  <c r="K39" i="5" s="1"/>
  <c r="J35" i="5"/>
  <c r="K35" i="5" s="1"/>
  <c r="K44" i="5"/>
  <c r="K34" i="5"/>
  <c r="K20" i="5"/>
  <c r="K33" i="5"/>
  <c r="J4" i="5"/>
  <c r="K28" i="5"/>
  <c r="K26" i="5"/>
  <c r="K3" i="5" l="1"/>
  <c r="K4" i="5"/>
  <c r="C105" i="4" l="1"/>
</calcChain>
</file>

<file path=xl/sharedStrings.xml><?xml version="1.0" encoding="utf-8"?>
<sst xmlns="http://schemas.openxmlformats.org/spreadsheetml/2006/main" count="738" uniqueCount="332">
  <si>
    <t>INVOICE</t>
    <phoneticPr fontId="4"/>
  </si>
  <si>
    <r>
      <rPr>
        <b/>
        <sz val="11"/>
        <color theme="1"/>
        <rFont val="ＭＳ Ｐゴシック"/>
        <family val="3"/>
        <charset val="128"/>
      </rPr>
      <t>依頼住</t>
    </r>
    <r>
      <rPr>
        <b/>
        <sz val="11"/>
        <color theme="1"/>
        <rFont val="Times New Roman"/>
        <family val="1"/>
      </rPr>
      <t xml:space="preserve"> (Shipper Address)</t>
    </r>
    <rPh sb="0" eb="2">
      <t>イライ</t>
    </rPh>
    <rPh sb="2" eb="3">
      <t>ジュウ</t>
    </rPh>
    <phoneticPr fontId="4"/>
  </si>
  <si>
    <t>MASUDA VINYL VIETNAM CO.,LTD</t>
    <phoneticPr fontId="6"/>
  </si>
  <si>
    <t>LOT NO1 DONG VANG DINH TRAM INDUSTRIAL ZONE</t>
    <phoneticPr fontId="6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</si>
  <si>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  <rPh sb="1" eb="3">
      <t>ゲンサン</t>
    </rPh>
    <rPh sb="3" eb="4">
      <t>コク</t>
    </rPh>
    <phoneticPr fontId="15"/>
  </si>
  <si>
    <r>
      <t>(</t>
    </r>
    <r>
      <rPr>
        <b/>
        <sz val="10"/>
        <rFont val="ＭＳ Ｐ明朝"/>
        <family val="1"/>
        <charset val="128"/>
      </rPr>
      <t>仕向先国名</t>
    </r>
    <r>
      <rPr>
        <b/>
        <sz val="10"/>
        <rFont val="Times New Roman"/>
        <family val="1"/>
      </rPr>
      <t>) 
Country of Destination</t>
    </r>
    <rPh sb="1" eb="3">
      <t>シム</t>
    </rPh>
    <rPh sb="3" eb="4">
      <t>サキ</t>
    </rPh>
    <rPh sb="4" eb="5">
      <t>クニ</t>
    </rPh>
    <rPh sb="5" eb="6">
      <t>メイ</t>
    </rPh>
    <phoneticPr fontId="15"/>
  </si>
  <si>
    <t>NENH TOWN VIET YEN DISTRICT BAC GIANG PROVINCE</t>
  </si>
  <si>
    <t>TEL : 0204 3662 777</t>
    <phoneticPr fontId="6"/>
  </si>
  <si>
    <t>VIETNAM</t>
    <phoneticPr fontId="4"/>
  </si>
  <si>
    <t>JAPAN</t>
    <phoneticPr fontId="4"/>
  </si>
  <si>
    <t>FAX : 0204 3662 825</t>
    <phoneticPr fontId="6"/>
  </si>
  <si>
    <r>
      <rPr>
        <b/>
        <sz val="10"/>
        <rFont val="ＭＳ Ｐ明朝"/>
        <family val="1"/>
        <charset val="128"/>
      </rPr>
      <t>支払条件</t>
    </r>
    <r>
      <rPr>
        <b/>
        <sz val="10"/>
        <rFont val="Times New Roman"/>
        <family val="1"/>
      </rPr>
      <t xml:space="preserve"> (Terms of Payment)</t>
    </r>
    <rPh sb="0" eb="2">
      <t>シハライ</t>
    </rPh>
    <rPh sb="2" eb="4">
      <t>ジョウケン</t>
    </rPh>
    <phoneticPr fontId="15"/>
  </si>
  <si>
    <r>
      <t>20</t>
    </r>
    <r>
      <rPr>
        <sz val="9"/>
        <color theme="1"/>
        <rFont val="ＭＳ Ｐゴシック"/>
        <family val="2"/>
      </rPr>
      <t>日締め翌月末支払</t>
    </r>
    <r>
      <rPr>
        <sz val="9"/>
        <color theme="1"/>
        <rFont val="Times New Roman"/>
        <family val="1"/>
      </rPr>
      <t xml:space="preserve">
(Invoice will be closed on 20th every month and payment at end of the following month)</t>
    </r>
    <phoneticPr fontId="4"/>
  </si>
  <si>
    <r>
      <rPr>
        <b/>
        <sz val="11"/>
        <rFont val="ＭＳ Ｐゴシック"/>
        <family val="2"/>
      </rPr>
      <t>荷受人</t>
    </r>
    <r>
      <rPr>
        <b/>
        <sz val="11"/>
        <rFont val="Times New Roman"/>
        <family val="1"/>
      </rPr>
      <t>(Consigneer)</t>
    </r>
    <phoneticPr fontId="4"/>
  </si>
  <si>
    <t>MASUDA VINYL CO.,LTD</t>
  </si>
  <si>
    <t>390ROKUGAIKECYOU  KITAKU</t>
  </si>
  <si>
    <t>備考 (Remark):</t>
    <rPh sb="0" eb="2">
      <t>ビコウ</t>
    </rPh>
    <phoneticPr fontId="4"/>
  </si>
  <si>
    <t>NAGOYA CITY AICHI JAPAN</t>
  </si>
  <si>
    <t>TEL : 052-901-9373</t>
  </si>
  <si>
    <t>P</t>
  </si>
  <si>
    <t xml:space="preserve">有償（Commerical Value) </t>
  </si>
  <si>
    <t>FAX : 052-901-6943</t>
  </si>
  <si>
    <t xml:space="preserve">無償（No Commerical Value) </t>
  </si>
  <si>
    <r>
      <t>Delivery to (</t>
    </r>
    <r>
      <rPr>
        <b/>
        <sz val="14"/>
        <rFont val="ＭＳ Ｐ明朝"/>
        <family val="1"/>
        <charset val="128"/>
      </rPr>
      <t>着地</t>
    </r>
    <r>
      <rPr>
        <b/>
        <sz val="14"/>
        <rFont val="Times New Roman"/>
        <family val="1"/>
      </rPr>
      <t>)</t>
    </r>
  </si>
  <si>
    <t>贈物（Gift)</t>
  </si>
  <si>
    <r>
      <t xml:space="preserve">商品見本（ </t>
    </r>
    <r>
      <rPr>
        <sz val="9"/>
        <color theme="1"/>
        <rFont val="ＭＳ Ｐゴシック"/>
        <family val="2"/>
        <scheme val="major"/>
      </rPr>
      <t>Sample, No Commercial Value</t>
    </r>
    <r>
      <rPr>
        <sz val="11"/>
        <color theme="1"/>
        <rFont val="ＭＳ Ｐゴシック"/>
        <family val="2"/>
        <charset val="128"/>
        <scheme val="major"/>
      </rPr>
      <t xml:space="preserve"> )</t>
    </r>
  </si>
  <si>
    <t>その他（Other)</t>
  </si>
  <si>
    <t>ラベル内容　
(Marks &amp; Nos.)</t>
  </si>
  <si>
    <r>
      <rPr>
        <sz val="11"/>
        <color theme="1"/>
        <rFont val="ＭＳ Ｐゴシック"/>
        <family val="2"/>
        <charset val="128"/>
      </rPr>
      <t xml:space="preserve">内容品の記載
</t>
    </r>
    <r>
      <rPr>
        <sz val="11"/>
        <color theme="1"/>
        <rFont val="Times New Roman"/>
        <family val="1"/>
      </rPr>
      <t>(Description)</t>
    </r>
    <rPh sb="0" eb="2">
      <t>ナイヨウ</t>
    </rPh>
    <rPh sb="2" eb="3">
      <t>ヒン</t>
    </rPh>
    <rPh sb="4" eb="6">
      <t>キサイ</t>
    </rPh>
    <phoneticPr fontId="4"/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</si>
  <si>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  <rPh sb="0" eb="2">
      <t>タンイ</t>
    </rPh>
    <phoneticPr fontId="4"/>
  </si>
  <si>
    <r>
      <rPr>
        <sz val="11"/>
        <color theme="1"/>
        <rFont val="ＭＳ Ｐゴシック"/>
        <family val="2"/>
        <charset val="128"/>
      </rPr>
      <t>数量
（</t>
    </r>
    <r>
      <rPr>
        <sz val="11"/>
        <color theme="1"/>
        <rFont val="Times New Roman"/>
        <family val="1"/>
      </rPr>
      <t>Quantity)</t>
    </r>
    <rPh sb="0" eb="2">
      <t>スウリョウ</t>
    </rPh>
    <phoneticPr fontId="4"/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</si>
  <si>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>）</t>
    </r>
    <rPh sb="0" eb="2">
      <t>タンカ</t>
    </rPh>
    <phoneticPr fontId="4"/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</si>
  <si>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</t>
    </r>
    <rPh sb="0" eb="2">
      <t>ゴウケイ</t>
    </rPh>
    <phoneticPr fontId="4"/>
  </si>
  <si>
    <t>MASK 515220</t>
  </si>
  <si>
    <r>
      <rPr>
        <b/>
        <sz val="11"/>
        <color theme="1"/>
        <rFont val="ＭＳ Ｐゴシック"/>
        <family val="2"/>
        <charset val="128"/>
      </rPr>
      <t>合計　（</t>
    </r>
    <r>
      <rPr>
        <b/>
        <sz val="11"/>
        <color theme="1"/>
        <rFont val="Times New Roman"/>
        <family val="1"/>
      </rPr>
      <t>Total)</t>
    </r>
  </si>
  <si>
    <r>
      <rPr>
        <b/>
        <sz val="11"/>
        <rFont val="ＭＳ Ｐ明朝"/>
        <family val="1"/>
        <charset val="128"/>
      </rPr>
      <t>原産国</t>
    </r>
    <r>
      <rPr>
        <b/>
        <sz val="11"/>
        <rFont val="Times New Roman"/>
        <family val="1"/>
      </rPr>
      <t xml:space="preserve"> (Country of Origin) : VIETNAM</t>
    </r>
    <rPh sb="0" eb="2">
      <t>ゲンサン</t>
    </rPh>
    <rPh sb="2" eb="3">
      <t>コク</t>
    </rPh>
    <phoneticPr fontId="15"/>
  </si>
  <si>
    <t>署名（ Singnature )</t>
    <rPh sb="0" eb="2">
      <t>ショメイ</t>
    </rPh>
    <phoneticPr fontId="4"/>
  </si>
  <si>
    <t>PACKING LIST</t>
    <phoneticPr fontId="4"/>
  </si>
  <si>
    <t>JAPAN</t>
  </si>
  <si>
    <t>MASUDA VINYL CO.,LTD</t>
    <phoneticPr fontId="6"/>
  </si>
  <si>
    <r>
      <rPr>
        <sz val="11"/>
        <color theme="1"/>
        <rFont val="ＭＳ Ｐゴシック"/>
        <family val="2"/>
        <charset val="128"/>
      </rPr>
      <t>備考</t>
    </r>
    <r>
      <rPr>
        <sz val="11"/>
        <color theme="1"/>
        <rFont val="Times New Roman"/>
        <family val="1"/>
      </rPr>
      <t xml:space="preserve"> (Remark):</t>
    </r>
    <rPh sb="0" eb="2">
      <t>ビコウ</t>
    </rPh>
    <phoneticPr fontId="4"/>
  </si>
  <si>
    <t>390ROKUGAIKECYOU  KITAKU</t>
    <phoneticPr fontId="6"/>
  </si>
  <si>
    <t>NAGOYA CITY AICHI JAPAN</t>
    <phoneticPr fontId="6"/>
  </si>
  <si>
    <t>TEL : 052-901-9373</t>
    <phoneticPr fontId="6"/>
  </si>
  <si>
    <t>FAX : 052-901-6943</t>
    <phoneticPr fontId="6"/>
  </si>
  <si>
    <r>
      <rPr>
        <sz val="11"/>
        <color theme="1"/>
        <rFont val="ＭＳ Ｐゴシック"/>
        <family val="2"/>
        <charset val="128"/>
      </rPr>
      <t>梱包
（</t>
    </r>
    <r>
      <rPr>
        <sz val="11"/>
        <color theme="1"/>
        <rFont val="Times New Roman"/>
        <family val="1"/>
      </rPr>
      <t>Packing</t>
    </r>
    <r>
      <rPr>
        <sz val="11"/>
        <color theme="1"/>
        <rFont val="ＭＳ Ｐゴシック"/>
        <family val="2"/>
        <charset val="128"/>
      </rPr>
      <t>）</t>
    </r>
    <rPh sb="0" eb="2">
      <t>コンポウ</t>
    </rPh>
    <phoneticPr fontId="4"/>
  </si>
  <si>
    <r>
      <rPr>
        <sz val="11"/>
        <color theme="1"/>
        <rFont val="ＭＳ Ｐゴシック"/>
        <family val="2"/>
      </rPr>
      <t xml:space="preserve">箱数
</t>
    </r>
    <r>
      <rPr>
        <sz val="11"/>
        <color theme="1"/>
        <rFont val="Times New Roman"/>
        <family val="1"/>
      </rPr>
      <t xml:space="preserve">( Number of Boxs) </t>
    </r>
    <rPh sb="0" eb="1">
      <t>ハコ</t>
    </rPh>
    <rPh sb="1" eb="2">
      <t>スウ</t>
    </rPh>
    <phoneticPr fontId="4"/>
  </si>
  <si>
    <r>
      <rPr>
        <sz val="11"/>
        <color theme="1"/>
        <rFont val="ＭＳ Ｐゴシック"/>
        <family val="2"/>
      </rPr>
      <t xml:space="preserve">パレット数
</t>
    </r>
    <r>
      <rPr>
        <sz val="11"/>
        <color theme="1"/>
        <rFont val="Times New Roman"/>
        <family val="1"/>
      </rPr>
      <t>( Number of Pallets)</t>
    </r>
    <rPh sb="4" eb="5">
      <t>スウ</t>
    </rPh>
    <phoneticPr fontId="4"/>
  </si>
  <si>
    <r>
      <rPr>
        <sz val="11"/>
        <color theme="1"/>
        <rFont val="ＭＳ Ｐゴシック"/>
        <family val="3"/>
        <charset val="128"/>
      </rPr>
      <t xml:space="preserve">総重量
</t>
    </r>
    <r>
      <rPr>
        <sz val="11"/>
        <color theme="1"/>
        <rFont val="Times New Roman"/>
        <family val="1"/>
      </rPr>
      <t>(Gross weight)</t>
    </r>
    <rPh sb="0" eb="3">
      <t>ソウジュウリョウ</t>
    </rPh>
    <phoneticPr fontId="4"/>
  </si>
  <si>
    <t>trọng lượng</t>
  </si>
  <si>
    <t>Net weight</t>
  </si>
  <si>
    <t xml:space="preserve">Túi </t>
  </si>
  <si>
    <t>Thùng</t>
  </si>
  <si>
    <t>bag</t>
  </si>
  <si>
    <t>pcs</t>
  </si>
  <si>
    <r>
      <rPr>
        <sz val="11"/>
        <color theme="1"/>
        <rFont val="ＭＳ Ｐゴシック"/>
        <family val="2"/>
        <charset val="128"/>
      </rPr>
      <t>合計　（</t>
    </r>
    <r>
      <rPr>
        <sz val="11"/>
        <color theme="1"/>
        <rFont val="Times New Roman"/>
        <family val="1"/>
      </rPr>
      <t>Total)</t>
    </r>
    <rPh sb="0" eb="2">
      <t>ゴウケイ</t>
    </rPh>
    <phoneticPr fontId="4"/>
  </si>
  <si>
    <r>
      <rPr>
        <sz val="11"/>
        <color theme="1"/>
        <rFont val="ＭＳ Ｐゴシック"/>
        <family val="2"/>
        <charset val="128"/>
      </rPr>
      <t>郵便物の個数</t>
    </r>
    <r>
      <rPr>
        <sz val="11"/>
        <color theme="1"/>
        <rFont val="Times New Roman"/>
        <family val="1"/>
      </rPr>
      <t xml:space="preserve"> ( Number of pieces, m) :</t>
    </r>
    <rPh sb="0" eb="2">
      <t>ユウビン</t>
    </rPh>
    <rPh sb="2" eb="3">
      <t>モノ</t>
    </rPh>
    <rPh sb="4" eb="6">
      <t>コスウ</t>
    </rPh>
    <phoneticPr fontId="4"/>
  </si>
  <si>
    <r>
      <rPr>
        <sz val="11"/>
        <color theme="1"/>
        <rFont val="ＭＳ Ｐゴシック"/>
        <family val="2"/>
        <charset val="128"/>
      </rPr>
      <t>総重量（</t>
    </r>
    <r>
      <rPr>
        <sz val="11"/>
        <color theme="1"/>
        <rFont val="Times New Roman"/>
        <family val="1"/>
      </rPr>
      <t xml:space="preserve">Gross weight) Kg : </t>
    </r>
    <rPh sb="0" eb="3">
      <t>ソウジュウリョウ</t>
    </rPh>
    <phoneticPr fontId="4"/>
  </si>
  <si>
    <t>pcs</t>
    <phoneticPr fontId="4"/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</si>
  <si>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  <rPh sb="0" eb="2">
      <t>ゲンサン</t>
    </rPh>
    <rPh sb="2" eb="3">
      <t>クニ</t>
    </rPh>
    <phoneticPr fontId="4"/>
  </si>
  <si>
    <r>
      <rPr>
        <sz val="11"/>
        <color theme="1"/>
        <rFont val="ＭＳ Ｐゴシック"/>
        <family val="3"/>
        <charset val="128"/>
      </rPr>
      <t>輸送方法</t>
    </r>
    <r>
      <rPr>
        <sz val="11"/>
        <color theme="1"/>
        <rFont val="Times New Roman"/>
        <family val="1"/>
      </rPr>
      <t xml:space="preserve"> ( Shipped per) :  SEA</t>
    </r>
    <phoneticPr fontId="4"/>
  </si>
  <si>
    <r>
      <rPr>
        <sz val="11"/>
        <color theme="1"/>
        <rFont val="ＭＳ Ｐゴシック"/>
        <family val="2"/>
      </rPr>
      <t>品名</t>
    </r>
    <rPh sb="0" eb="2">
      <t>ヒンメイ</t>
    </rPh>
    <phoneticPr fontId="4"/>
  </si>
  <si>
    <r>
      <rPr>
        <sz val="11"/>
        <color theme="1"/>
        <rFont val="ＭＳ Ｐゴシック"/>
        <family val="2"/>
      </rPr>
      <t>重さ</t>
    </r>
    <rPh sb="0" eb="1">
      <t>オモ</t>
    </rPh>
    <phoneticPr fontId="4"/>
  </si>
  <si>
    <r>
      <rPr>
        <sz val="11"/>
        <color theme="1"/>
        <rFont val="ＭＳ Ｐゴシック"/>
        <family val="2"/>
      </rPr>
      <t>数量</t>
    </r>
    <rPh sb="0" eb="2">
      <t>スウリョウ</t>
    </rPh>
    <phoneticPr fontId="4"/>
  </si>
  <si>
    <r>
      <rPr>
        <sz val="11"/>
        <color theme="1"/>
        <rFont val="ＭＳ Ｐゴシック"/>
        <family val="2"/>
      </rPr>
      <t>製品重量</t>
    </r>
    <rPh sb="0" eb="2">
      <t>セイヒン</t>
    </rPh>
    <rPh sb="2" eb="4">
      <t>ジュウリョウ</t>
    </rPh>
    <phoneticPr fontId="4"/>
  </si>
  <si>
    <r>
      <rPr>
        <sz val="11"/>
        <color theme="1"/>
        <rFont val="ＭＳ Ｐゴシック"/>
        <family val="2"/>
      </rPr>
      <t>袋</t>
    </r>
    <rPh sb="0" eb="1">
      <t>フクロ</t>
    </rPh>
    <phoneticPr fontId="4"/>
  </si>
  <si>
    <r>
      <rPr>
        <sz val="11"/>
        <color theme="1"/>
        <rFont val="ＭＳ Ｐゴシック"/>
        <family val="2"/>
      </rPr>
      <t>段ボール</t>
    </r>
    <rPh sb="0" eb="1">
      <t>ダン</t>
    </rPh>
    <phoneticPr fontId="4"/>
  </si>
  <si>
    <r>
      <rPr>
        <sz val="11"/>
        <color theme="1"/>
        <rFont val="ＭＳ Ｐゴシック"/>
        <family val="2"/>
      </rPr>
      <t>総重量</t>
    </r>
    <rPh sb="0" eb="1">
      <t>ソウ</t>
    </rPh>
    <rPh sb="1" eb="3">
      <t>ジュウリョウ</t>
    </rPh>
    <phoneticPr fontId="4"/>
  </si>
  <si>
    <t>100L</t>
    <phoneticPr fontId="4"/>
  </si>
  <si>
    <t>200L</t>
    <phoneticPr fontId="4"/>
  </si>
  <si>
    <t>290L</t>
    <phoneticPr fontId="4"/>
  </si>
  <si>
    <t>2.5ø 100L</t>
  </si>
  <si>
    <t>3ø 100L</t>
    <phoneticPr fontId="4"/>
  </si>
  <si>
    <t>3ø 150L</t>
    <phoneticPr fontId="4"/>
  </si>
  <si>
    <t>4ø 100L</t>
    <phoneticPr fontId="4"/>
  </si>
  <si>
    <t>上達</t>
    <rPh sb="0" eb="2">
      <t>ジョウタツ</t>
    </rPh>
    <phoneticPr fontId="4"/>
  </si>
  <si>
    <t>5ø 183L</t>
    <phoneticPr fontId="4"/>
  </si>
  <si>
    <t>23MG</t>
    <phoneticPr fontId="4"/>
  </si>
  <si>
    <t>MI3</t>
    <phoneticPr fontId="4"/>
  </si>
  <si>
    <t>450x1800</t>
    <phoneticPr fontId="4"/>
  </si>
  <si>
    <t>MI3 156</t>
    <phoneticPr fontId="4"/>
  </si>
  <si>
    <t>1000mm=167g</t>
    <phoneticPr fontId="4"/>
  </si>
  <si>
    <t>600x1800</t>
    <phoneticPr fontId="4"/>
  </si>
  <si>
    <t>MI3 26</t>
    <phoneticPr fontId="4"/>
  </si>
  <si>
    <t>900x1800</t>
    <phoneticPr fontId="4"/>
  </si>
  <si>
    <t>MI3 36</t>
    <phoneticPr fontId="4"/>
  </si>
  <si>
    <t>750x1800</t>
    <phoneticPr fontId="4"/>
  </si>
  <si>
    <t>MI3 256</t>
    <phoneticPr fontId="4"/>
  </si>
  <si>
    <t>MI3 155</t>
    <phoneticPr fontId="4"/>
  </si>
  <si>
    <t>MI3 25</t>
    <phoneticPr fontId="4"/>
  </si>
  <si>
    <t>P 1335L</t>
    <phoneticPr fontId="4"/>
  </si>
  <si>
    <t>P 1422L</t>
    <phoneticPr fontId="4"/>
  </si>
  <si>
    <t>P1383L</t>
    <phoneticPr fontId="4"/>
  </si>
  <si>
    <t>DIP TUBE</t>
    <phoneticPr fontId="4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</si>
  <si>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</si>
  <si>
    <r>
      <t>From (</t>
    </r>
    <r>
      <rPr>
        <sz val="11"/>
        <rFont val="ＭＳ Ｐ明朝"/>
        <family val="1"/>
        <charset val="128"/>
      </rPr>
      <t>発地国</t>
    </r>
    <r>
      <rPr>
        <sz val="11"/>
        <rFont val="Times New Roman"/>
        <family val="1"/>
      </rPr>
      <t>)</t>
    </r>
    <rPh sb="6" eb="7">
      <t>ハツ</t>
    </rPh>
    <rPh sb="7" eb="8">
      <t>チ</t>
    </rPh>
    <rPh sb="8" eb="9">
      <t>コク</t>
    </rPh>
    <phoneticPr fontId="6"/>
  </si>
  <si>
    <r>
      <t>Via (</t>
    </r>
    <r>
      <rPr>
        <sz val="11"/>
        <rFont val="ＭＳ Ｐ明朝"/>
        <family val="1"/>
        <charset val="128"/>
      </rPr>
      <t>経由国</t>
    </r>
    <r>
      <rPr>
        <sz val="11"/>
        <rFont val="Times New Roman"/>
        <family val="1"/>
      </rPr>
      <t>)</t>
    </r>
    <rPh sb="5" eb="7">
      <t>ケイユ</t>
    </rPh>
    <rPh sb="7" eb="8">
      <t>コク</t>
    </rPh>
    <phoneticPr fontId="6"/>
  </si>
  <si>
    <t>BACGIANG VIETNAM</t>
    <phoneticPr fontId="4"/>
  </si>
  <si>
    <t>CIF</t>
  </si>
  <si>
    <r>
      <t>To (</t>
    </r>
    <r>
      <rPr>
        <sz val="11"/>
        <rFont val="ＭＳ Ｐ明朝"/>
        <family val="1"/>
        <charset val="128"/>
      </rPr>
      <t>着地国</t>
    </r>
    <r>
      <rPr>
        <sz val="11"/>
        <rFont val="Times New Roman"/>
        <family val="1"/>
      </rPr>
      <t>)</t>
    </r>
    <rPh sb="4" eb="5">
      <t>チャク</t>
    </rPh>
    <rPh sb="5" eb="6">
      <t>チ</t>
    </rPh>
    <rPh sb="6" eb="7">
      <t>コク</t>
    </rPh>
    <phoneticPr fontId="6"/>
  </si>
  <si>
    <t>NAGOYA JAPAN</t>
    <phoneticPr fontId="4"/>
  </si>
  <si>
    <t>COVER SIDE TRIM</t>
  </si>
  <si>
    <t>MASUGOMU 4130</t>
  </si>
  <si>
    <t>MASUGOMU 4120</t>
  </si>
  <si>
    <t>MASUGOMU 4240</t>
  </si>
  <si>
    <t>PUROTEKUTA 55788-48080</t>
  </si>
  <si>
    <t>PUROTEKUTA  55788-TOA020</t>
  </si>
  <si>
    <t>MASUKU</t>
  </si>
  <si>
    <t>MASUKU SMALL</t>
  </si>
  <si>
    <t>CIF TO NAGOYA PORT</t>
    <phoneticPr fontId="4"/>
  </si>
  <si>
    <t>TÊN SP</t>
    <phoneticPr fontId="4"/>
  </si>
  <si>
    <t xml:space="preserve">MÃ HS </t>
    <phoneticPr fontId="4"/>
  </si>
  <si>
    <t>MASUGOMU 4140</t>
    <phoneticPr fontId="4"/>
  </si>
  <si>
    <t>MASUGOMU 4080</t>
    <phoneticPr fontId="4"/>
  </si>
  <si>
    <t>TABLE EDGE MG23</t>
    <phoneticPr fontId="4"/>
  </si>
  <si>
    <r>
      <t>KATEKUSU 3</t>
    </r>
    <r>
      <rPr>
        <sz val="12"/>
        <color theme="1"/>
        <rFont val="Times New Roman"/>
        <family val="1"/>
      </rPr>
      <t>ø 100L</t>
    </r>
    <phoneticPr fontId="4"/>
  </si>
  <si>
    <r>
      <t>KATEKUSU 3</t>
    </r>
    <r>
      <rPr>
        <sz val="12"/>
        <color theme="1"/>
        <rFont val="Times New Roman"/>
        <family val="1"/>
      </rPr>
      <t>ø 150L</t>
    </r>
    <phoneticPr fontId="4"/>
  </si>
  <si>
    <r>
      <t>KATEKUSU 4</t>
    </r>
    <r>
      <rPr>
        <sz val="12"/>
        <color theme="1"/>
        <rFont val="Times New Roman"/>
        <family val="1"/>
      </rPr>
      <t>ø 100L</t>
    </r>
    <phoneticPr fontId="4"/>
  </si>
  <si>
    <r>
      <t>KATEKUSU 5</t>
    </r>
    <r>
      <rPr>
        <sz val="12"/>
        <color theme="1"/>
        <rFont val="Times New Roman"/>
        <family val="1"/>
      </rPr>
      <t>ø 183L</t>
    </r>
    <phoneticPr fontId="4"/>
  </si>
  <si>
    <t>SHEET JOINT</t>
    <phoneticPr fontId="4"/>
  </si>
  <si>
    <t>TABLE EDGE MI3</t>
    <phoneticPr fontId="4"/>
  </si>
  <si>
    <t>TABLE EDGE MI3 156</t>
    <phoneticPr fontId="4"/>
  </si>
  <si>
    <t>TABLE EDGE MI3 26</t>
    <phoneticPr fontId="4"/>
  </si>
  <si>
    <t>PUROTEKUTA 1350L</t>
    <phoneticPr fontId="4"/>
  </si>
  <si>
    <t>PUROTEKUTA   1422L (55788-42050)</t>
    <phoneticPr fontId="4"/>
  </si>
  <si>
    <t>PUROTEKUTA   1383L OK100</t>
    <phoneticPr fontId="4"/>
  </si>
  <si>
    <t>DIP TUBE</t>
  </si>
  <si>
    <t xml:space="preserve"> </t>
  </si>
  <si>
    <t>m</t>
    <phoneticPr fontId="4"/>
  </si>
  <si>
    <t>CIF TO NAGOYA PORT</t>
    <phoneticPr fontId="15"/>
  </si>
  <si>
    <r>
      <t xml:space="preserve"> </t>
    </r>
    <r>
      <rPr>
        <b/>
        <sz val="25"/>
        <color theme="1"/>
        <rFont val="Times New Roman"/>
        <family val="1"/>
      </rPr>
      <t xml:space="preserve"> </t>
    </r>
    <r>
      <rPr>
        <b/>
        <sz val="25"/>
        <color theme="1"/>
        <rFont val="ＭＳ Ｐゴシック"/>
        <family val="3"/>
        <charset val="128"/>
      </rPr>
      <t>御請求書</t>
    </r>
    <r>
      <rPr>
        <b/>
        <sz val="26"/>
        <color theme="1"/>
        <rFont val="Times New Roman"/>
        <family val="1"/>
      </rPr>
      <t xml:space="preserve">
</t>
    </r>
    <r>
      <rPr>
        <b/>
        <sz val="22"/>
        <color theme="1"/>
        <rFont val="Times New Roman"/>
        <family val="1"/>
      </rPr>
      <t>HÓA ĐƠN</t>
    </r>
    <r>
      <rPr>
        <b/>
        <sz val="26"/>
        <color theme="1"/>
        <rFont val="Times New Roman"/>
        <family val="1"/>
      </rPr>
      <t xml:space="preserve"> </t>
    </r>
    <r>
      <rPr>
        <b/>
        <sz val="22"/>
        <color theme="1"/>
        <rFont val="Times New Roman"/>
        <family val="1"/>
      </rPr>
      <t>YÊU CẦU THANH TOÁN</t>
    </r>
  </si>
  <si>
    <r>
      <rPr>
        <sz val="11"/>
        <color theme="1"/>
        <rFont val="ＭＳ Ｐゴシック"/>
        <family val="2"/>
        <charset val="128"/>
      </rPr>
      <t>株式会社　</t>
    </r>
    <r>
      <rPr>
        <sz val="11"/>
        <color theme="1"/>
        <rFont val="Times New Roman"/>
        <family val="1"/>
      </rPr>
      <t>MASUDA VINYL CO.,LTD</t>
    </r>
    <r>
      <rPr>
        <sz val="11"/>
        <color theme="1"/>
        <rFont val="ＭＳ Ｐゴシック"/>
        <family val="2"/>
        <charset val="128"/>
      </rPr>
      <t>　様</t>
    </r>
  </si>
  <si>
    <t>Kính gửi :</t>
    <phoneticPr fontId="4"/>
  </si>
  <si>
    <r>
      <rPr>
        <sz val="11"/>
        <color theme="1"/>
        <rFont val="ＭＳ Ｐゴシック"/>
        <family val="2"/>
        <charset val="128"/>
      </rPr>
      <t>〖振り込む先〗</t>
    </r>
  </si>
  <si>
    <r>
      <rPr>
        <sz val="11"/>
        <color theme="1"/>
        <rFont val="ＭＳ Ｐゴシック"/>
        <family val="2"/>
        <charset val="128"/>
      </rPr>
      <t>毎度有り難うございます。</t>
    </r>
  </si>
  <si>
    <t>Thông tin chuyển khoản</t>
    <phoneticPr fontId="4"/>
  </si>
  <si>
    <t>Xin chân thành cảm ơn quý công ty.</t>
    <phoneticPr fontId="4"/>
  </si>
  <si>
    <r>
      <rPr>
        <sz val="11"/>
        <color theme="1"/>
        <rFont val="ＭＳ Ｐゴシック"/>
        <family val="2"/>
        <charset val="128"/>
      </rPr>
      <t>銀行：</t>
    </r>
    <r>
      <rPr>
        <sz val="11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BANK FOR FOREIGN TRADE OF VIETNAM - BAC GIANG BRANCH</t>
    </r>
  </si>
  <si>
    <r>
      <rPr>
        <sz val="11"/>
        <color theme="1"/>
        <rFont val="ＭＳ Ｐゴシック"/>
        <family val="2"/>
        <charset val="128"/>
      </rPr>
      <t>下記の通り、御請求申し上げます。</t>
    </r>
  </si>
  <si>
    <t>(Ngân hàng)</t>
    <phoneticPr fontId="4"/>
  </si>
  <si>
    <t>Chúng tôi xin phép gửi yêu cầu thanh toán bên dưới.</t>
    <phoneticPr fontId="4"/>
  </si>
  <si>
    <t>SWIFT CODE :     BFTVVNVX073</t>
    <phoneticPr fontId="4"/>
  </si>
  <si>
    <r>
      <rPr>
        <sz val="11"/>
        <color theme="1"/>
        <rFont val="ＭＳ Ｐ明朝"/>
        <family val="1"/>
        <charset val="128"/>
      </rPr>
      <t>口座番号</t>
    </r>
    <r>
      <rPr>
        <sz val="11"/>
        <color theme="1"/>
        <rFont val="Times New Roman"/>
        <family val="1"/>
      </rPr>
      <t>:             0731370684223</t>
    </r>
  </si>
  <si>
    <t>(Số tài khoản)</t>
    <phoneticPr fontId="4"/>
  </si>
  <si>
    <t>MASUDA VINYL VIETNAM CO.,LTD</t>
    <phoneticPr fontId="4"/>
  </si>
  <si>
    <r>
      <rPr>
        <sz val="11"/>
        <color theme="1"/>
        <rFont val="ＭＳ Ｐゴシック"/>
        <family val="2"/>
        <charset val="128"/>
      </rPr>
      <t xml:space="preserve">前回請求額
</t>
    </r>
    <r>
      <rPr>
        <sz val="11"/>
        <color theme="1"/>
        <rFont val="Times New Roman"/>
        <family val="1"/>
      </rPr>
      <t>Nợ  c</t>
    </r>
    <r>
      <rPr>
        <sz val="11"/>
        <color theme="1"/>
        <rFont val="ＭＳ Ｐゴシック"/>
        <family val="2"/>
        <charset val="128"/>
      </rPr>
      <t>ũ</t>
    </r>
  </si>
  <si>
    <r>
      <rPr>
        <sz val="11"/>
        <color theme="1"/>
        <rFont val="ＭＳ Ｐゴシック"/>
        <family val="2"/>
        <charset val="128"/>
      </rPr>
      <t xml:space="preserve">御入金額
</t>
    </r>
    <r>
      <rPr>
        <sz val="11"/>
        <color theme="1"/>
        <rFont val="Times New Roman"/>
        <family val="1"/>
      </rPr>
      <t>Đã thanh toán</t>
    </r>
  </si>
  <si>
    <r>
      <rPr>
        <sz val="11"/>
        <color theme="1"/>
        <rFont val="ＭＳ Ｐゴシック"/>
        <family val="2"/>
        <charset val="128"/>
      </rPr>
      <t xml:space="preserve">繰越額
</t>
    </r>
    <r>
      <rPr>
        <sz val="11"/>
        <color theme="1"/>
        <rFont val="Times New Roman"/>
        <family val="1"/>
      </rPr>
      <t>Nợ tồn</t>
    </r>
  </si>
  <si>
    <r>
      <rPr>
        <sz val="11"/>
        <color theme="1"/>
        <rFont val="ＭＳ Ｐゴシック"/>
        <family val="2"/>
        <charset val="128"/>
      </rPr>
      <t xml:space="preserve">御買上額
</t>
    </r>
    <r>
      <rPr>
        <sz val="11"/>
        <color theme="1"/>
        <rFont val="Times New Roman"/>
        <family val="1"/>
      </rPr>
      <t>Mua hàng
lần mới nhất</t>
    </r>
  </si>
  <si>
    <r>
      <rPr>
        <sz val="11"/>
        <color theme="1"/>
        <rFont val="ＭＳ Ｐゴシック"/>
        <family val="2"/>
        <charset val="128"/>
      </rPr>
      <t xml:space="preserve">消費税
</t>
    </r>
    <r>
      <rPr>
        <sz val="11"/>
        <color theme="1"/>
        <rFont val="Times New Roman"/>
        <family val="1"/>
      </rPr>
      <t>Tiền thuế</t>
    </r>
  </si>
  <si>
    <r>
      <rPr>
        <sz val="11"/>
        <color theme="1"/>
        <rFont val="ＭＳ Ｐゴシック"/>
        <family val="2"/>
        <charset val="128"/>
      </rPr>
      <t xml:space="preserve">今回御請求額
</t>
    </r>
    <r>
      <rPr>
        <sz val="11"/>
        <color theme="1"/>
        <rFont val="Times New Roman"/>
        <family val="1"/>
      </rPr>
      <t>Tổng số 
tiền lần này</t>
    </r>
  </si>
  <si>
    <r>
      <rPr>
        <sz val="11"/>
        <color theme="1"/>
        <rFont val="ＭＳ Ｐゴシック"/>
        <family val="2"/>
        <charset val="128"/>
      </rPr>
      <t xml:space="preserve">相殺金額
</t>
    </r>
    <r>
      <rPr>
        <sz val="11"/>
        <color theme="1"/>
        <rFont val="Times New Roman"/>
        <family val="1"/>
      </rPr>
      <t>Đối trừ công nợ</t>
    </r>
  </si>
  <si>
    <r>
      <rPr>
        <sz val="11"/>
        <color theme="1"/>
        <rFont val="ＭＳ Ｐゴシック"/>
        <family val="2"/>
        <charset val="128"/>
      </rPr>
      <t xml:space="preserve">差引き請求額
</t>
    </r>
    <r>
      <rPr>
        <sz val="11"/>
        <color theme="1"/>
        <rFont val="Times New Roman"/>
        <family val="1"/>
      </rPr>
      <t>Số tiền yêu cẩu 
thanh toán</t>
    </r>
  </si>
  <si>
    <r>
      <rPr>
        <sz val="11"/>
        <color theme="1"/>
        <rFont val="ＭＳ Ｐゴシック"/>
        <family val="2"/>
        <charset val="128"/>
      </rPr>
      <t>請　求　明　細</t>
    </r>
  </si>
  <si>
    <r>
      <t>Chi tiết</t>
    </r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Times New Roman"/>
        <family val="1"/>
      </rPr>
      <t>thanh toán</t>
    </r>
  </si>
  <si>
    <r>
      <rPr>
        <sz val="12"/>
        <color theme="1"/>
        <rFont val="ＭＳ Ｐゴシック"/>
        <family val="2"/>
        <charset val="128"/>
      </rPr>
      <t>伝票</t>
    </r>
    <r>
      <rPr>
        <sz val="12"/>
        <color theme="1"/>
        <rFont val="Times New Roman"/>
        <family val="1"/>
      </rPr>
      <t>No
Số phiếu</t>
    </r>
  </si>
  <si>
    <r>
      <rPr>
        <sz val="12"/>
        <color theme="1"/>
        <rFont val="ＭＳ Ｐゴシック"/>
        <family val="3"/>
        <charset val="128"/>
      </rPr>
      <t xml:space="preserve">ベトナム出荷日
</t>
    </r>
    <r>
      <rPr>
        <sz val="12"/>
        <color theme="1"/>
        <rFont val="Times New Roman"/>
        <family val="1"/>
      </rPr>
      <t>Ngày xuất 
phía VN</t>
    </r>
  </si>
  <si>
    <r>
      <rPr>
        <sz val="12"/>
        <color theme="1"/>
        <rFont val="ＭＳ Ｐゴシック"/>
        <family val="3"/>
        <charset val="128"/>
      </rPr>
      <t>商品名</t>
    </r>
    <r>
      <rPr>
        <sz val="12"/>
        <color theme="1"/>
        <rFont val="Times New Roman"/>
        <family val="1"/>
      </rPr>
      <t>/</t>
    </r>
    <r>
      <rPr>
        <sz val="12"/>
        <color theme="1"/>
        <rFont val="ＭＳ Ｐゴシック"/>
        <family val="3"/>
        <charset val="128"/>
      </rPr>
      <t xml:space="preserve">規格
</t>
    </r>
    <r>
      <rPr>
        <sz val="12"/>
        <color theme="1"/>
        <rFont val="Times New Roman"/>
        <family val="1"/>
      </rPr>
      <t>Tên hàng / Quy cách</t>
    </r>
  </si>
  <si>
    <r>
      <rPr>
        <sz val="12"/>
        <color theme="1"/>
        <rFont val="ＭＳ Ｐゴシック"/>
        <family val="3"/>
        <charset val="128"/>
      </rPr>
      <t xml:space="preserve">数量
</t>
    </r>
    <r>
      <rPr>
        <sz val="12"/>
        <color theme="1"/>
        <rFont val="Times New Roman"/>
        <family val="1"/>
      </rPr>
      <t>Số lượng</t>
    </r>
  </si>
  <si>
    <r>
      <rPr>
        <sz val="12"/>
        <color theme="1"/>
        <rFont val="ＭＳ Ｐゴシック"/>
        <family val="3"/>
        <charset val="128"/>
      </rPr>
      <t xml:space="preserve">単位
</t>
    </r>
    <r>
      <rPr>
        <sz val="12"/>
        <color theme="1"/>
        <rFont val="Times New Roman"/>
        <family val="1"/>
      </rPr>
      <t>Đơn vị</t>
    </r>
  </si>
  <si>
    <r>
      <rPr>
        <sz val="12"/>
        <color theme="1"/>
        <rFont val="ＭＳ Ｐゴシック"/>
        <family val="3"/>
        <charset val="128"/>
      </rPr>
      <t xml:space="preserve">単価
</t>
    </r>
    <r>
      <rPr>
        <sz val="12"/>
        <color theme="1"/>
        <rFont val="Times New Roman"/>
        <family val="1"/>
      </rPr>
      <t>Đơn giá</t>
    </r>
  </si>
  <si>
    <r>
      <rPr>
        <sz val="12"/>
        <color theme="1"/>
        <rFont val="ＭＳ Ｐゴシック"/>
        <family val="3"/>
        <charset val="128"/>
      </rPr>
      <t xml:space="preserve">金額
</t>
    </r>
    <r>
      <rPr>
        <sz val="12"/>
        <color theme="1"/>
        <rFont val="Times New Roman"/>
        <family val="1"/>
      </rPr>
      <t>Số tiền</t>
    </r>
  </si>
  <si>
    <r>
      <rPr>
        <sz val="12"/>
        <color theme="1"/>
        <rFont val="ＭＳ Ｐゴシック"/>
        <family val="3"/>
        <charset val="128"/>
      </rPr>
      <t xml:space="preserve">摘要
</t>
    </r>
    <r>
      <rPr>
        <sz val="12"/>
        <color theme="1"/>
        <rFont val="Times New Roman"/>
        <family val="1"/>
      </rPr>
      <t>Chú thích</t>
    </r>
  </si>
  <si>
    <t xml:space="preserve">MASUDA </t>
    <phoneticPr fontId="4"/>
  </si>
  <si>
    <r>
      <rPr>
        <sz val="11"/>
        <color theme="1"/>
        <rFont val="ＭＳ Ｐゴシック"/>
        <family val="2"/>
        <charset val="128"/>
      </rPr>
      <t>品名</t>
    </r>
  </si>
  <si>
    <r>
      <rPr>
        <sz val="11"/>
        <color theme="1"/>
        <rFont val="ＭＳ Ｐゴシック"/>
        <family val="2"/>
        <charset val="128"/>
      </rPr>
      <t>単価</t>
    </r>
  </si>
  <si>
    <t>単位</t>
    <rPh sb="0" eb="2">
      <t>タンイ</t>
    </rPh>
    <phoneticPr fontId="15"/>
  </si>
  <si>
    <t>出荷数</t>
    <rPh sb="0" eb="2">
      <t>シュッカ</t>
    </rPh>
    <rPh sb="2" eb="3">
      <t>スウ</t>
    </rPh>
    <phoneticPr fontId="4"/>
  </si>
  <si>
    <r>
      <rPr>
        <sz val="11"/>
        <color theme="1"/>
        <rFont val="ＭＳ Ｐゴシック"/>
        <family val="2"/>
        <charset val="128"/>
      </rPr>
      <t>梱包</t>
    </r>
  </si>
  <si>
    <t>MASUGOMU 4140</t>
    <phoneticPr fontId="15"/>
  </si>
  <si>
    <t>pcs</t>
    <phoneticPr fontId="15"/>
  </si>
  <si>
    <t>MASK 515222</t>
  </si>
  <si>
    <t>MASUGOMU 4080</t>
    <phoneticPr fontId="15"/>
  </si>
  <si>
    <t>TABLE EDGE MG23</t>
    <phoneticPr fontId="15"/>
  </si>
  <si>
    <t>m</t>
    <phoneticPr fontId="15"/>
  </si>
  <si>
    <t>SHEET JOINT 100L
(5226-1000)</t>
    <phoneticPr fontId="15"/>
  </si>
  <si>
    <t>SHEET JOINT 150L</t>
    <phoneticPr fontId="4"/>
  </si>
  <si>
    <t>SHEET JOINT 200L</t>
    <phoneticPr fontId="4"/>
  </si>
  <si>
    <t>SHEET JOINT 290L</t>
    <phoneticPr fontId="15"/>
  </si>
  <si>
    <t>TABLE EDGE MI3</t>
    <phoneticPr fontId="15"/>
  </si>
  <si>
    <t>TABLE EDGE MI3 156</t>
    <phoneticPr fontId="15"/>
  </si>
  <si>
    <r>
      <rPr>
        <sz val="12"/>
        <color theme="1"/>
        <rFont val="ＭＳ Ｐゴシック"/>
        <family val="2"/>
        <charset val="128"/>
      </rPr>
      <t xml:space="preserve">合計
</t>
    </r>
    <r>
      <rPr>
        <sz val="12"/>
        <color theme="1"/>
        <rFont val="Times New Roman"/>
        <family val="1"/>
      </rPr>
      <t>Tổng</t>
    </r>
  </si>
  <si>
    <t>MASUGOMU 4120</t>
    <phoneticPr fontId="4"/>
  </si>
  <si>
    <r>
      <rPr>
        <sz val="12"/>
        <color theme="1"/>
        <rFont val="ＭＳ Ｐゴシック"/>
        <family val="3"/>
        <charset val="128"/>
      </rPr>
      <t xml:space="preserve">消費税
</t>
    </r>
    <r>
      <rPr>
        <sz val="12"/>
        <color theme="1"/>
        <rFont val="Times New Roman"/>
        <family val="1"/>
      </rPr>
      <t>Thuế VAT</t>
    </r>
  </si>
  <si>
    <t>MASUGOMU 4130</t>
    <phoneticPr fontId="4"/>
  </si>
  <si>
    <r>
      <rPr>
        <sz val="12"/>
        <color theme="1"/>
        <rFont val="ＭＳ Ｐゴシック"/>
        <family val="3"/>
        <charset val="128"/>
      </rPr>
      <t xml:space="preserve">税込合計
</t>
    </r>
    <r>
      <rPr>
        <sz val="12"/>
        <color theme="1"/>
        <rFont val="Times New Roman"/>
        <family val="1"/>
      </rPr>
      <t>Tổng cả thuế</t>
    </r>
  </si>
  <si>
    <t>PUROTEKUTA 55788-K0060</t>
  </si>
  <si>
    <t>No</t>
    <phoneticPr fontId="4"/>
  </si>
  <si>
    <r>
      <rPr>
        <sz val="11"/>
        <color theme="1"/>
        <rFont val="ＭＳ Ｐゴシック"/>
        <family val="2"/>
        <charset val="128"/>
      </rPr>
      <t>品名</t>
    </r>
    <rPh sb="0" eb="2">
      <t>ヒンメイ</t>
    </rPh>
    <phoneticPr fontId="4"/>
  </si>
  <si>
    <r>
      <rPr>
        <sz val="11"/>
        <color theme="1"/>
        <rFont val="ＭＳ Ｐゴシック"/>
        <family val="2"/>
        <charset val="128"/>
      </rPr>
      <t>単価</t>
    </r>
    <rPh sb="0" eb="2">
      <t>タンカ</t>
    </rPh>
    <phoneticPr fontId="4"/>
  </si>
  <si>
    <t>重さ</t>
    <rPh sb="0" eb="1">
      <t>オモ</t>
    </rPh>
    <phoneticPr fontId="4"/>
  </si>
  <si>
    <r>
      <rPr>
        <sz val="11"/>
        <color theme="1"/>
        <rFont val="ＭＳ Ｐゴシック"/>
        <family val="2"/>
        <charset val="128"/>
      </rPr>
      <t>梱包</t>
    </r>
    <rPh sb="0" eb="2">
      <t>コンポウ</t>
    </rPh>
    <phoneticPr fontId="4"/>
  </si>
  <si>
    <r>
      <rPr>
        <sz val="11"/>
        <color theme="1"/>
        <rFont val="ＭＳ Ｐゴシック"/>
        <family val="3"/>
        <charset val="128"/>
      </rPr>
      <t>出荷数</t>
    </r>
    <rPh sb="0" eb="2">
      <t>シュッカ</t>
    </rPh>
    <rPh sb="2" eb="3">
      <t>スウ</t>
    </rPh>
    <phoneticPr fontId="4"/>
  </si>
  <si>
    <r>
      <rPr>
        <sz val="11"/>
        <color theme="1"/>
        <rFont val="ＭＳ Ｐゴシック"/>
        <family val="2"/>
      </rPr>
      <t>箱数</t>
    </r>
    <rPh sb="0" eb="1">
      <t>ハコ</t>
    </rPh>
    <rPh sb="1" eb="2">
      <t>スウ</t>
    </rPh>
    <phoneticPr fontId="4"/>
  </si>
  <si>
    <r>
      <rPr>
        <sz val="11"/>
        <color theme="1"/>
        <rFont val="ＭＳ Ｐゴシック"/>
        <family val="2"/>
      </rPr>
      <t>使用材</t>
    </r>
    <rPh sb="0" eb="2">
      <t>シヨウ</t>
    </rPh>
    <rPh sb="2" eb="3">
      <t>ザイ</t>
    </rPh>
    <phoneticPr fontId="4"/>
  </si>
  <si>
    <r>
      <rPr>
        <sz val="11"/>
        <color theme="1"/>
        <rFont val="ＭＳ Ｐゴシック"/>
        <family val="2"/>
      </rPr>
      <t>総数量</t>
    </r>
    <rPh sb="0" eb="1">
      <t>ソウ</t>
    </rPh>
    <rPh sb="1" eb="3">
      <t>スウリョウ</t>
    </rPh>
    <phoneticPr fontId="4"/>
  </si>
  <si>
    <t>単位</t>
    <rPh sb="0" eb="2">
      <t>タンイ</t>
    </rPh>
    <phoneticPr fontId="4"/>
  </si>
  <si>
    <t>MASUGOMU 4090</t>
  </si>
  <si>
    <r>
      <t>KATEKUSU 2.5</t>
    </r>
    <r>
      <rPr>
        <sz val="12"/>
        <color theme="1"/>
        <rFont val="Times New Roman"/>
        <family val="1"/>
      </rPr>
      <t>ø 73L</t>
    </r>
    <phoneticPr fontId="4"/>
  </si>
  <si>
    <r>
      <t>KATEKUSU 2.5</t>
    </r>
    <r>
      <rPr>
        <sz val="12"/>
        <color theme="1"/>
        <rFont val="Times New Roman"/>
        <family val="1"/>
      </rPr>
      <t>ø 100L</t>
    </r>
    <phoneticPr fontId="4"/>
  </si>
  <si>
    <t>SHEET JOINT 100L</t>
    <phoneticPr fontId="4"/>
  </si>
  <si>
    <t>SHEET JOINT 290L</t>
    <phoneticPr fontId="4"/>
  </si>
  <si>
    <t>TABLE EDGE MI3 256</t>
    <phoneticPr fontId="4"/>
  </si>
  <si>
    <t>TABLE EDGE MI3 36</t>
    <phoneticPr fontId="4"/>
  </si>
  <si>
    <t>TABLE EDGE MI3 155</t>
    <phoneticPr fontId="4"/>
  </si>
  <si>
    <t>TABLE EDGE MI3 25</t>
    <phoneticPr fontId="4"/>
  </si>
  <si>
    <t>PUROTEKUTA  55788-TOA0010</t>
  </si>
  <si>
    <t>PUROTEKUTA 2A4P1-018G</t>
    <phoneticPr fontId="4"/>
  </si>
  <si>
    <t>PUROTEKUTA 55788-60080</t>
    <phoneticPr fontId="4"/>
  </si>
  <si>
    <t>PUROTEKUTA 2A4P1-022G</t>
    <phoneticPr fontId="40"/>
  </si>
  <si>
    <t>Debuchubu</t>
  </si>
  <si>
    <t>PLASTIC TUBE</t>
    <phoneticPr fontId="4"/>
  </si>
  <si>
    <t xml:space="preserve">MASK </t>
    <phoneticPr fontId="4"/>
  </si>
  <si>
    <t>9.8/thung</t>
  </si>
  <si>
    <t>8.2/thung</t>
  </si>
  <si>
    <t>LOT NO1 DONG VANG DINH TRAM INDUSTRIAL ZONE</t>
    <phoneticPr fontId="5"/>
  </si>
  <si>
    <t>TEL : 0204 3662 777</t>
  </si>
  <si>
    <t>PUROTEKUTA 55788-60110</t>
  </si>
  <si>
    <t>PUROTEKUTA 55788-16110</t>
  </si>
  <si>
    <t>GENTLE EAR NON-WOVEN MASK REGULAR</t>
  </si>
  <si>
    <t>200 bag/Box</t>
  </si>
  <si>
    <t>GENTLE EAR NON-WOVEN MASK SMALL</t>
  </si>
  <si>
    <t>8.3/thung</t>
  </si>
  <si>
    <t>9.4/hung</t>
  </si>
  <si>
    <t>CIF TO NAGOYA PORT</t>
    <phoneticPr fontId="5"/>
  </si>
  <si>
    <t>390ROKUGAIKECYOU  KITAKU NAGOYA CITY AICHI JAPAN</t>
  </si>
  <si>
    <t>MASK 515221</t>
  </si>
  <si>
    <t>MASK 515223</t>
  </si>
  <si>
    <t>注文書No
PO No</t>
  </si>
  <si>
    <t>商品見本（ Sample, No Commercial Value )</t>
  </si>
  <si>
    <t>11.5kg/thung</t>
  </si>
  <si>
    <t>9.7kg/thung</t>
  </si>
  <si>
    <t>11kg/thung</t>
  </si>
  <si>
    <t>PUROTEKUTA 55788-02270</t>
  </si>
  <si>
    <t>LOT NO1 DONG VANG DINH TRAM INDUSTRIAL ZONE</t>
  </si>
  <si>
    <t>MASK 515530</t>
  </si>
  <si>
    <t>MASK 515531</t>
  </si>
  <si>
    <t>MASK 34931</t>
  </si>
  <si>
    <t>MASK 34933</t>
  </si>
  <si>
    <t>6kg</t>
  </si>
  <si>
    <t>5kg</t>
  </si>
  <si>
    <t>2.9kg</t>
  </si>
  <si>
    <t>2.4kg</t>
  </si>
  <si>
    <t>MASK  34927</t>
  </si>
  <si>
    <t>MASK  34928</t>
  </si>
  <si>
    <t>MASK  34929</t>
  </si>
  <si>
    <t>MASK  34930</t>
  </si>
  <si>
    <t>m</t>
  </si>
  <si>
    <r>
      <rPr>
        <sz val="11"/>
        <color theme="1"/>
        <rFont val="ＭＳ Ｐゴシック"/>
        <family val="2"/>
        <charset val="128"/>
      </rPr>
      <t>合計　（</t>
    </r>
    <r>
      <rPr>
        <sz val="11"/>
        <color theme="1"/>
        <rFont val="Times New Roman"/>
        <family val="1"/>
      </rPr>
      <t>Total)</t>
    </r>
  </si>
  <si>
    <t>PUROTEKUTA 2A4P1-022G</t>
  </si>
  <si>
    <t>FROM: MASUDA VINYL VIETNAM CO.,LTD</t>
  </si>
  <si>
    <t>TO: MASUDA VINYL CO.,LTD</t>
  </si>
  <si>
    <t xml:space="preserve">MASK KOSOU FUKURO </t>
  </si>
  <si>
    <t>MASK KOSOU FUKURO LILAC</t>
  </si>
  <si>
    <t>Mask C01036 White</t>
  </si>
  <si>
    <t>6.9kg</t>
  </si>
  <si>
    <t>Mask C01036 Light gray</t>
  </si>
  <si>
    <t>Mask C01036 Gray</t>
  </si>
  <si>
    <t>Mask C01036 Beige</t>
  </si>
  <si>
    <t>Mask C01036 Pink</t>
  </si>
  <si>
    <t>Mask C01036 Lilac</t>
  </si>
  <si>
    <t>Mask C01038 White</t>
  </si>
  <si>
    <t>Mask C01037 White</t>
  </si>
  <si>
    <t>40bag/box</t>
  </si>
  <si>
    <t>Mask C01037 Light gray</t>
  </si>
  <si>
    <t>Mask C01037 Gray</t>
  </si>
  <si>
    <t>Mask C01037 Beige</t>
  </si>
  <si>
    <t>Mask C01037 Pink</t>
  </si>
  <si>
    <t>Mask C01037 Lilac</t>
  </si>
  <si>
    <t>Mask C01039 White</t>
  </si>
  <si>
    <t>Mask C01072 Stylist</t>
  </si>
  <si>
    <t>Mask C01074 Sweet</t>
  </si>
  <si>
    <t>Pallet  (No Commerical Value)</t>
  </si>
  <si>
    <t>TABLE EDGE MG23</t>
  </si>
  <si>
    <t>LDBA044800-8 DOOR CENTER SASH</t>
  </si>
  <si>
    <t>LDBA045100-8 DOOR CENTER SASH</t>
  </si>
  <si>
    <t>Mã HS code</t>
  </si>
  <si>
    <t>SL2</t>
  </si>
  <si>
    <t>Kg</t>
  </si>
  <si>
    <t>PCE</t>
  </si>
  <si>
    <t>ĐVT 2</t>
  </si>
  <si>
    <t>MASK KOSOU FUKURO PINK</t>
  </si>
  <si>
    <t>MASK KOSOU FUKURO LIGHT GRAY</t>
  </si>
  <si>
    <t>MASK KOSOU FUKURO GRAY</t>
  </si>
  <si>
    <t>MASK KOSOU FUKURO BEIGE</t>
  </si>
  <si>
    <r>
      <t>KATEKUSU 3</t>
    </r>
    <r>
      <rPr>
        <sz val="12"/>
        <color theme="1"/>
        <rFont val="Times New Roman"/>
        <family val="1"/>
      </rPr>
      <t>ø 30L</t>
    </r>
  </si>
  <si>
    <r>
      <t>KATEKUSU 3</t>
    </r>
    <r>
      <rPr>
        <sz val="12"/>
        <color theme="1"/>
        <rFont val="Times New Roman"/>
        <family val="1"/>
      </rPr>
      <t>ø 40L</t>
    </r>
  </si>
  <si>
    <r>
      <t>KATEKUSU 3</t>
    </r>
    <r>
      <rPr>
        <sz val="12"/>
        <color theme="1"/>
        <rFont val="Times New Roman"/>
        <family val="1"/>
      </rPr>
      <t>ø 45L</t>
    </r>
  </si>
  <si>
    <r>
      <t>KATEKUSU 3</t>
    </r>
    <r>
      <rPr>
        <sz val="12"/>
        <color theme="1"/>
        <rFont val="Times New Roman"/>
        <family val="1"/>
      </rPr>
      <t>ø 90L</t>
    </r>
  </si>
  <si>
    <r>
      <t>KATEKUSU 4</t>
    </r>
    <r>
      <rPr>
        <sz val="12"/>
        <color theme="1"/>
        <rFont val="Times New Roman"/>
        <family val="1"/>
      </rPr>
      <t>ø 50L</t>
    </r>
  </si>
  <si>
    <r>
      <t>KATEKUSU 2.5</t>
    </r>
    <r>
      <rPr>
        <sz val="12"/>
        <color theme="1"/>
        <rFont val="Times New Roman"/>
        <family val="1"/>
      </rPr>
      <t>ø 95L</t>
    </r>
  </si>
  <si>
    <r>
      <t>KATEKUSU 2.5</t>
    </r>
    <r>
      <rPr>
        <sz val="12"/>
        <color theme="1"/>
        <rFont val="Times New Roman"/>
        <family val="1"/>
      </rPr>
      <t>ø 135L</t>
    </r>
  </si>
  <si>
    <r>
      <t>KATEKUSU 2.5</t>
    </r>
    <r>
      <rPr>
        <sz val="12"/>
        <color theme="1"/>
        <rFont val="Times New Roman"/>
        <family val="1"/>
      </rPr>
      <t>ø 50L</t>
    </r>
  </si>
  <si>
    <t>PUROTEKUTA 55788-48090</t>
  </si>
  <si>
    <t>IV</t>
  </si>
  <si>
    <t>SO SÁNH</t>
  </si>
  <si>
    <t>PUROTEKUTA 55788-52350</t>
  </si>
  <si>
    <t>PUROTEKUTA 55788-52360</t>
  </si>
  <si>
    <t>RAB0344 - N</t>
  </si>
  <si>
    <t>RAB0422 - N</t>
  </si>
  <si>
    <t>RAB0938-V - N</t>
  </si>
  <si>
    <t>RAA940-R - N</t>
  </si>
  <si>
    <t>LDBA094401-0 FRAME BRAKER(TB)-803</t>
  </si>
  <si>
    <t>LDBA094402-0 FRAME BRAKER(RL)-803</t>
  </si>
  <si>
    <t>LDBA095001-0 DOOR GLASS SASH(TB)-803</t>
  </si>
  <si>
    <t>LDBA095002-0 DOOR GLASS SASH(RL)-803</t>
  </si>
  <si>
    <t>LDBA095101-0 DOOR BRAKER(TB)-803</t>
  </si>
  <si>
    <t>LDBA095102-0 DOOR BRAKER(RL)-803</t>
  </si>
  <si>
    <t>Carton 1450x310x100 mm</t>
  </si>
  <si>
    <t>TABLE EDGE MI3 156</t>
  </si>
  <si>
    <t>RAB0938-V+H450 - N</t>
  </si>
  <si>
    <t>RAA0940-R+H450</t>
  </si>
  <si>
    <t>NENH WARD BAC NINH PROVINCE</t>
  </si>
  <si>
    <t>NENH WARD BAC NINH PROVINCE VIET NAM</t>
  </si>
  <si>
    <t>VN-JP 013</t>
  </si>
  <si>
    <t>LDLA243400-0 FRAME PACKING u</t>
  </si>
  <si>
    <t>LDLA243800-0 BREAKER SEAL PACKING u</t>
  </si>
  <si>
    <t>GỐI XÁM</t>
  </si>
  <si>
    <t>set</t>
  </si>
  <si>
    <t>PILLOW</t>
  </si>
  <si>
    <t>MASK 42811</t>
  </si>
  <si>
    <t>インボイス作成日（Date): 5/12/2025</t>
  </si>
  <si>
    <t>Invoice No
MASUDA VN-JP 019/25</t>
  </si>
  <si>
    <t>1/13</t>
  </si>
  <si>
    <t>2/13</t>
  </si>
  <si>
    <t>3/13</t>
  </si>
  <si>
    <t>4/13</t>
  </si>
  <si>
    <t>5/13</t>
  </si>
  <si>
    <t>6/13</t>
  </si>
  <si>
    <t>7/13</t>
  </si>
  <si>
    <t>8/13-12/13</t>
  </si>
  <si>
    <t>13/13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</si>
</sst>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176" formatCode="_(* #,##0.00_);_(* \(#,##0.00\);_(* &quot;-&quot;??_);_(@_)"/>
    <numFmt numFmtId="177" formatCode="&quot;$&quot;\ \ \ 0.00"/>
    <numFmt numFmtId="178" formatCode="&quot;$&quot;\ \ \ 0.000"/>
    <numFmt numFmtId="179" formatCode="0.00\ &quot;kg&quot;"/>
    <numFmt numFmtId="180" formatCode="0.0\ &quot;g&quot;"/>
    <numFmt numFmtId="181" formatCode="000"/>
    <numFmt numFmtId="182" formatCode="0\ \ \ "/>
    <numFmt numFmtId="183" formatCode="0.0\ &quot;kg/巻&quot;"/>
    <numFmt numFmtId="184" formatCode="0.0\ &quot;kg&quot;"/>
    <numFmt numFmtId="185" formatCode="0\ \ \ &quot;m&quot;"/>
    <numFmt numFmtId="186" formatCode="0\ \ \ &quot;pcs&quot;"/>
    <numFmt numFmtId="187" formatCode="0\ \ &quot;Boxs&quot;"/>
    <numFmt numFmtId="188" formatCode="0\ \ \ &quot;Pallets&quot;"/>
    <numFmt numFmtId="189" formatCode="0\ \ &quot;kg&quot;"/>
    <numFmt numFmtId="190" formatCode="0\ \ &quot;pcs&quot;\ \ "/>
    <numFmt numFmtId="191" formatCode="0\ \ &quot;mm&quot;"/>
    <numFmt numFmtId="192" formatCode="0.0\ \ &quot;kg&quot;"/>
    <numFmt numFmtId="193" formatCode="0.00\ \ &quot;kg&quot;"/>
    <numFmt numFmtId="194" formatCode="0.0_ "/>
    <numFmt numFmtId="195" formatCode="0.00\ &quot;g&quot;"/>
    <numFmt numFmtId="196" formatCode="0.000\ &quot;$&quot;"/>
    <numFmt numFmtId="197" formatCode="0.00\ &quot;CBM&quot;"/>
    <numFmt numFmtId="198" formatCode="0\ &quot;本迄&quot;"/>
    <numFmt numFmtId="199" formatCode="0\ &quot;m/roll&quot;"/>
    <numFmt numFmtId="200" formatCode="0\ &quot;pcs/Box&quot;"/>
    <numFmt numFmtId="201" formatCode="0\ \ &quot;g&quot;"/>
    <numFmt numFmtId="202" formatCode="0\ &quot;bag/box&quot;"/>
    <numFmt numFmtId="203" formatCode="0\ \ \ &quot;bag&quot;"/>
    <numFmt numFmtId="204" formatCode="0.0000\ &quot;$&quot;"/>
    <numFmt numFmtId="205" formatCode="&quot;$&quot;\ \ \ 0.0000"/>
    <numFmt numFmtId="206" formatCode="yyyy/mm/dd"/>
    <numFmt numFmtId="207" formatCode="&quot;△&quot;\ \ \ &quot;$&quot;\ \ 0.00"/>
    <numFmt numFmtId="208" formatCode="0\ &quot;Boxs (1 Box :500 pcs)&quot;"/>
    <numFmt numFmtId="209" formatCode="0\ &quot;Boxs (1 Box :180 pcs)&quot;"/>
    <numFmt numFmtId="210" formatCode="0\ &quot;Boxs (1 Box :350 pcs)&quot;"/>
    <numFmt numFmtId="211" formatCode="0\ &quot;Rolls (1 Roll :50m)&quot;"/>
    <numFmt numFmtId="212" formatCode="0\ &quot;Boxs (1 Box:5000 pcs)&quot;"/>
    <numFmt numFmtId="213" formatCode="0\ &quot;Boxs (1 Box:3000 pcs)&quot;"/>
    <numFmt numFmtId="214" formatCode="0\ &quot;Boxs (1 Box:1500 pcs)&quot;"/>
    <numFmt numFmtId="215" formatCode="0\ &quot;Boxs (1 Box :360 pcs)&quot;"/>
    <numFmt numFmtId="216" formatCode="0\ &quot;Boxs (1 Box:1000 pcs)&quot;"/>
    <numFmt numFmtId="217" formatCode="0\ &quot;Boxs (1 Box :540 pcs)&quot;"/>
    <numFmt numFmtId="218" formatCode="0\ &quot;Boxs (1 Box:30 pcs)&quot;"/>
    <numFmt numFmtId="219" formatCode="0\ &quot;Boxs (1 Box :100 pcs)&quot;"/>
    <numFmt numFmtId="220" formatCode="0\ &quot;kg&quot;"/>
    <numFmt numFmtId="221" formatCode="0.0000_ "/>
    <numFmt numFmtId="222" formatCode="0.00_ "/>
    <numFmt numFmtId="223" formatCode="0.0000"/>
    <numFmt numFmtId="224" formatCode="0\ &quot;pallet&quot;"/>
    <numFmt numFmtId="225" formatCode="0\ &quot;pcs/Bag&quot;"/>
    <numFmt numFmtId="226" formatCode="0.0\ &quot;g/m&quot;"/>
    <numFmt numFmtId="227" formatCode="_(* #,##0_);_(* \(#,##0\);_(* &quot;-&quot;??_);_(@_)"/>
    <numFmt numFmtId="228" formatCode="0\ \ &quot;roll&quot;"/>
    <numFmt numFmtId="229" formatCode="0\ &quot;Boxs (1 Box :200 bag)&quot;"/>
    <numFmt numFmtId="230" formatCode="00"/>
    <numFmt numFmtId="231" formatCode="0\ &quot;set/Box&quot;"/>
    <numFmt numFmtId="232" formatCode="0\ \ &quot;Roll&quot;"/>
  </numFmts>
  <fonts count="62">
    <font>
      <sz val="11"/>
      <color theme="1"/>
      <name val="ＭＳ Ｐゴシック"/>
      <family val="2"/>
      <charset val="128"/>
      <scheme val="maj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ajor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9"/>
      <name val="Times New Roman"/>
      <family val="1"/>
    </font>
    <font>
      <sz val="9"/>
      <color theme="1"/>
      <name val="ＭＳ Ｐゴシック"/>
      <family val="2"/>
      <charset val="128"/>
      <scheme val="major"/>
    </font>
    <font>
      <sz val="9"/>
      <name val="Times New Roman"/>
      <family val="1"/>
    </font>
    <font>
      <b/>
      <sz val="9"/>
      <name val="ＭＳ Ｐゴシック"/>
      <family val="2"/>
      <scheme val="minor"/>
    </font>
    <font>
      <sz val="9"/>
      <color theme="1"/>
      <name val="ＭＳ Ｐゴシック"/>
      <family val="2"/>
      <scheme val="major"/>
    </font>
    <font>
      <u/>
      <sz val="11"/>
      <color theme="1"/>
      <name val="ＭＳ Ｐゴシック"/>
      <family val="2"/>
      <scheme val="major"/>
    </font>
    <font>
      <b/>
      <sz val="26"/>
      <color theme="1"/>
      <name val="ＭＳ Ｐゴシック"/>
      <family val="2"/>
      <scheme val="major"/>
    </font>
    <font>
      <sz val="6"/>
      <name val="ＭＳ Ｐゴシック"/>
      <family val="2"/>
      <charset val="128"/>
    </font>
    <font>
      <b/>
      <sz val="10"/>
      <name val="Times New Roman"/>
      <family val="1"/>
    </font>
    <font>
      <b/>
      <sz val="10"/>
      <name val="ＭＳ Ｐ明朝"/>
      <family val="1"/>
      <charset val="128"/>
    </font>
    <font>
      <b/>
      <u/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b/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b/>
      <sz val="11"/>
      <name val="ＭＳ Ｐゴシック"/>
      <family val="2"/>
    </font>
    <font>
      <u/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u/>
      <sz val="11"/>
      <name val="Times New Roman"/>
      <family val="1"/>
    </font>
    <font>
      <sz val="11"/>
      <color theme="1"/>
      <name val="ＭＳ Ｐゴシック"/>
      <family val="2"/>
    </font>
    <font>
      <sz val="9"/>
      <color theme="1"/>
      <name val="ＭＳ Ｐゴシック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HGKyokashotai"/>
      <family val="1"/>
      <charset val="128"/>
    </font>
    <font>
      <b/>
      <sz val="14"/>
      <name val="Times New Roman"/>
      <family val="1"/>
    </font>
    <font>
      <sz val="16"/>
      <color theme="1"/>
      <name val="ＭＳ Ｐゴシック"/>
      <family val="2"/>
      <charset val="128"/>
      <scheme val="major"/>
    </font>
    <font>
      <b/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Wingdings 2"/>
      <family val="1"/>
      <charset val="2"/>
    </font>
    <font>
      <b/>
      <sz val="24"/>
      <name val="Times New Roman"/>
      <family val="1"/>
    </font>
    <font>
      <sz val="11"/>
      <color theme="1"/>
      <name val="ＭＳ Ｐゴシック"/>
      <family val="2"/>
      <charset val="128"/>
      <scheme val="major"/>
    </font>
    <font>
      <sz val="24"/>
      <name val="Times New Roman"/>
      <family val="1"/>
    </font>
    <font>
      <sz val="24"/>
      <color theme="1"/>
      <name val="ＭＳ Ｐゴシック"/>
      <family val="2"/>
      <charset val="128"/>
      <scheme val="major"/>
    </font>
    <font>
      <b/>
      <sz val="11"/>
      <color theme="1"/>
      <name val="ＭＳ Ｐゴシック"/>
      <family val="2"/>
      <charset val="128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25"/>
      <color theme="1"/>
      <name val="Times New Roman"/>
      <family val="1"/>
    </font>
    <font>
      <b/>
      <sz val="25"/>
      <color theme="1"/>
      <name val="ＭＳ Ｐゴシック"/>
      <family val="3"/>
      <charset val="128"/>
    </font>
    <font>
      <b/>
      <sz val="22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2"/>
      <color theme="1"/>
      <name val="ＭＳ Ｐゴシック"/>
      <family val="2"/>
      <charset val="128"/>
    </font>
    <font>
      <sz val="12"/>
      <color theme="1"/>
      <name val="ＭＳ Ｐゴシック"/>
      <family val="3"/>
      <charset val="128"/>
    </font>
    <font>
      <b/>
      <sz val="12"/>
      <color theme="1"/>
      <name val="Times New Roman"/>
      <family val="1"/>
    </font>
    <font>
      <sz val="8"/>
      <name val="ＭＳ Ｐゴシック"/>
      <family val="2"/>
      <charset val="128"/>
      <scheme val="major"/>
    </font>
    <font>
      <b/>
      <sz val="14"/>
      <name val="ＭＳ Ｐ明朝"/>
      <family val="1"/>
      <charset val="128"/>
    </font>
    <font>
      <sz val="10"/>
      <color theme="1"/>
      <name val="ＭＳ Ｐゴシック"/>
      <family val="2"/>
      <scheme val="major"/>
    </font>
    <font>
      <sz val="11"/>
      <color theme="1"/>
      <name val="Times New Roman"/>
      <family val="2"/>
      <charset val="128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28" fillId="0" borderId="0">
      <alignment vertical="center"/>
    </xf>
    <xf numFmtId="38" fontId="28" fillId="0" borderId="0" applyFont="0" applyFill="0" applyBorder="0" applyAlignment="0" applyProtection="0">
      <alignment vertical="center"/>
    </xf>
    <xf numFmtId="0" fontId="35" fillId="0" borderId="0"/>
    <xf numFmtId="176" fontId="43" fillId="0" borderId="0" applyFont="0" applyFill="0" applyBorder="0" applyAlignment="0" applyProtection="0"/>
    <xf numFmtId="0" fontId="3" fillId="0" borderId="0"/>
  </cellStyleXfs>
  <cellXfs count="50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3" fillId="0" borderId="0" xfId="0" applyFont="1">
      <alignment vertical="center"/>
    </xf>
    <xf numFmtId="0" fontId="9" fillId="0" borderId="1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4" xfId="0" applyBorder="1">
      <alignment vertical="center"/>
    </xf>
    <xf numFmtId="0" fontId="11" fillId="0" borderId="20" xfId="0" applyFont="1" applyBorder="1">
      <alignment vertical="center"/>
    </xf>
    <xf numFmtId="0" fontId="0" fillId="0" borderId="27" xfId="0" applyBorder="1">
      <alignment vertical="center"/>
    </xf>
    <xf numFmtId="0" fontId="0" fillId="0" borderId="30" xfId="0" applyBorder="1">
      <alignment vertical="center"/>
    </xf>
    <xf numFmtId="0" fontId="10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0" fillId="0" borderId="27" xfId="0" applyFont="1" applyBorder="1">
      <alignment vertical="center"/>
    </xf>
    <xf numFmtId="0" fontId="22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20" xfId="0" applyFont="1" applyBorder="1">
      <alignment vertical="center"/>
    </xf>
    <xf numFmtId="0" fontId="20" fillId="0" borderId="24" xfId="0" applyFont="1" applyBorder="1">
      <alignment vertical="center"/>
    </xf>
    <xf numFmtId="0" fontId="20" fillId="0" borderId="2" xfId="0" applyFont="1" applyBorder="1">
      <alignment vertical="center"/>
    </xf>
    <xf numFmtId="0" fontId="5" fillId="0" borderId="25" xfId="0" applyFont="1" applyBorder="1">
      <alignment vertical="center"/>
    </xf>
    <xf numFmtId="0" fontId="20" fillId="0" borderId="6" xfId="0" applyFont="1" applyBorder="1">
      <alignment vertical="center"/>
    </xf>
    <xf numFmtId="0" fontId="8" fillId="0" borderId="20" xfId="0" applyFont="1" applyBorder="1">
      <alignment vertical="center"/>
    </xf>
    <xf numFmtId="0" fontId="20" fillId="0" borderId="21" xfId="0" applyFont="1" applyBorder="1">
      <alignment vertical="center"/>
    </xf>
    <xf numFmtId="0" fontId="20" fillId="0" borderId="30" xfId="0" applyFont="1" applyBorder="1">
      <alignment vertical="center"/>
    </xf>
    <xf numFmtId="0" fontId="26" fillId="0" borderId="0" xfId="0" applyFont="1">
      <alignment vertical="center"/>
    </xf>
    <xf numFmtId="0" fontId="7" fillId="0" borderId="0" xfId="1" applyFont="1">
      <alignment vertical="center"/>
    </xf>
    <xf numFmtId="0" fontId="5" fillId="0" borderId="2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47" xfId="1" applyFont="1" applyBorder="1" applyAlignment="1">
      <alignment horizontal="center" vertical="center"/>
    </xf>
    <xf numFmtId="0" fontId="31" fillId="0" borderId="0" xfId="0" applyFont="1">
      <alignment vertical="center"/>
    </xf>
    <xf numFmtId="0" fontId="20" fillId="0" borderId="4" xfId="0" applyFont="1" applyBorder="1">
      <alignment vertical="center"/>
    </xf>
    <xf numFmtId="0" fontId="20" fillId="0" borderId="22" xfId="0" applyFont="1" applyBorder="1">
      <alignment vertical="center"/>
    </xf>
    <xf numFmtId="0" fontId="5" fillId="0" borderId="0" xfId="0" applyFont="1" applyAlignment="1">
      <alignment vertical="top" wrapText="1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20" fillId="2" borderId="61" xfId="0" applyFont="1" applyFill="1" applyBorder="1" applyAlignment="1">
      <alignment horizontal="center" vertical="center"/>
    </xf>
    <xf numFmtId="179" fontId="20" fillId="0" borderId="0" xfId="0" applyNumberFormat="1" applyFont="1" applyAlignment="1">
      <alignment horizontal="left" vertical="center"/>
    </xf>
    <xf numFmtId="188" fontId="20" fillId="0" borderId="0" xfId="0" applyNumberFormat="1" applyFont="1" applyAlignment="1">
      <alignment horizontal="left" vertical="center"/>
    </xf>
    <xf numFmtId="190" fontId="20" fillId="0" borderId="0" xfId="0" applyNumberFormat="1" applyFont="1" applyAlignment="1">
      <alignment horizontal="left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4" xfId="0" applyFont="1" applyFill="1" applyBorder="1">
      <alignment vertical="center"/>
    </xf>
    <xf numFmtId="180" fontId="20" fillId="2" borderId="4" xfId="0" applyNumberFormat="1" applyFont="1" applyFill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2" borderId="4" xfId="0" applyNumberFormat="1" applyFont="1" applyFill="1" applyBorder="1" applyAlignment="1">
      <alignment horizontal="center" vertical="center"/>
    </xf>
    <xf numFmtId="179" fontId="20" fillId="2" borderId="4" xfId="0" applyNumberFormat="1" applyFont="1" applyFill="1" applyBorder="1" applyAlignment="1">
      <alignment horizontal="center" vertical="center"/>
    </xf>
    <xf numFmtId="184" fontId="20" fillId="0" borderId="4" xfId="0" applyNumberFormat="1" applyFont="1" applyBorder="1" applyAlignment="1">
      <alignment horizontal="center" vertical="center"/>
    </xf>
    <xf numFmtId="189" fontId="20" fillId="0" borderId="4" xfId="0" applyNumberFormat="1" applyFont="1" applyBorder="1" applyAlignment="1">
      <alignment horizontal="center" vertical="center"/>
    </xf>
    <xf numFmtId="191" fontId="20" fillId="0" borderId="0" xfId="0" applyNumberFormat="1" applyFont="1">
      <alignment vertical="center"/>
    </xf>
    <xf numFmtId="183" fontId="20" fillId="0" borderId="4" xfId="0" applyNumberFormat="1" applyFont="1" applyBorder="1" applyAlignment="1">
      <alignment horizontal="center" vertical="center"/>
    </xf>
    <xf numFmtId="192" fontId="20" fillId="0" borderId="4" xfId="0" applyNumberFormat="1" applyFont="1" applyBorder="1">
      <alignment vertical="center"/>
    </xf>
    <xf numFmtId="193" fontId="20" fillId="0" borderId="4" xfId="0" applyNumberFormat="1" applyFont="1" applyBorder="1" applyAlignment="1">
      <alignment horizontal="center" vertical="center"/>
    </xf>
    <xf numFmtId="194" fontId="20" fillId="0" borderId="0" xfId="0" applyNumberFormat="1" applyFont="1">
      <alignment vertical="center"/>
    </xf>
    <xf numFmtId="179" fontId="20" fillId="0" borderId="4" xfId="0" applyNumberFormat="1" applyFont="1" applyBorder="1" applyAlignment="1">
      <alignment horizontal="center" vertical="center"/>
    </xf>
    <xf numFmtId="195" fontId="20" fillId="0" borderId="4" xfId="0" applyNumberFormat="1" applyFont="1" applyBorder="1" applyAlignment="1">
      <alignment horizontal="center" vertical="center"/>
    </xf>
    <xf numFmtId="1" fontId="20" fillId="0" borderId="0" xfId="0" applyNumberFormat="1" applyFont="1">
      <alignment vertical="center"/>
    </xf>
    <xf numFmtId="0" fontId="33" fillId="2" borderId="0" xfId="0" applyFont="1" applyFill="1" applyAlignment="1">
      <alignment horizontal="center" vertical="center"/>
    </xf>
    <xf numFmtId="180" fontId="33" fillId="2" borderId="0" xfId="0" applyNumberFormat="1" applyFont="1" applyFill="1" applyAlignment="1">
      <alignment horizontal="center" vertical="center"/>
    </xf>
    <xf numFmtId="182" fontId="33" fillId="2" borderId="0" xfId="0" applyNumberFormat="1" applyFont="1" applyFill="1" applyAlignment="1">
      <alignment horizontal="center" vertical="center"/>
    </xf>
    <xf numFmtId="184" fontId="33" fillId="2" borderId="0" xfId="0" applyNumberFormat="1" applyFont="1" applyFill="1" applyAlignment="1">
      <alignment horizontal="center" vertical="center"/>
    </xf>
    <xf numFmtId="179" fontId="33" fillId="2" borderId="0" xfId="0" applyNumberFormat="1" applyFont="1" applyFill="1" applyAlignment="1">
      <alignment horizontal="center" vertical="center"/>
    </xf>
    <xf numFmtId="197" fontId="20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0" fillId="2" borderId="62" xfId="0" applyFont="1" applyFill="1" applyBorder="1" applyAlignment="1">
      <alignment horizontal="center" vertical="center"/>
    </xf>
    <xf numFmtId="194" fontId="0" fillId="0" borderId="0" xfId="0" applyNumberFormat="1">
      <alignment vertical="center"/>
    </xf>
    <xf numFmtId="196" fontId="20" fillId="0" borderId="4" xfId="0" applyNumberFormat="1" applyFont="1" applyBorder="1" applyAlignment="1">
      <alignment horizontal="center" vertical="center"/>
    </xf>
    <xf numFmtId="200" fontId="20" fillId="0" borderId="4" xfId="0" applyNumberFormat="1" applyFont="1" applyBorder="1" applyAlignment="1">
      <alignment horizontal="center" vertical="center"/>
    </xf>
    <xf numFmtId="199" fontId="20" fillId="0" borderId="4" xfId="0" applyNumberFormat="1" applyFont="1" applyBorder="1" applyAlignment="1">
      <alignment horizontal="center" vertical="center"/>
    </xf>
    <xf numFmtId="198" fontId="20" fillId="0" borderId="0" xfId="0" applyNumberFormat="1" applyFont="1">
      <alignment vertical="center"/>
    </xf>
    <xf numFmtId="0" fontId="36" fillId="0" borderId="0" xfId="0" applyFont="1">
      <alignment vertical="center"/>
    </xf>
    <xf numFmtId="201" fontId="20" fillId="0" borderId="4" xfId="0" applyNumberFormat="1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1" xfId="0" applyFont="1" applyBorder="1">
      <alignment vertical="center"/>
    </xf>
    <xf numFmtId="0" fontId="37" fillId="0" borderId="20" xfId="0" applyFont="1" applyBorder="1">
      <alignment vertical="center"/>
    </xf>
    <xf numFmtId="0" fontId="38" fillId="0" borderId="2" xfId="0" applyFont="1" applyBorder="1">
      <alignment vertical="center"/>
    </xf>
    <xf numFmtId="0" fontId="36" fillId="3" borderId="4" xfId="0" applyFont="1" applyFill="1" applyBorder="1" applyAlignment="1">
      <alignment horizontal="center" vertical="center"/>
    </xf>
    <xf numFmtId="180" fontId="20" fillId="0" borderId="4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80" fontId="20" fillId="2" borderId="13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1" fillId="0" borderId="4" xfId="0" applyFont="1" applyBorder="1" applyAlignment="1">
      <alignment horizontal="center" vertical="center"/>
    </xf>
    <xf numFmtId="202" fontId="20" fillId="0" borderId="4" xfId="0" applyNumberFormat="1" applyFont="1" applyBorder="1" applyAlignment="1">
      <alignment horizontal="center" vertical="center"/>
    </xf>
    <xf numFmtId="0" fontId="42" fillId="0" borderId="0" xfId="0" applyFont="1">
      <alignment vertical="center"/>
    </xf>
    <xf numFmtId="176" fontId="20" fillId="0" borderId="0" xfId="4" applyFont="1" applyBorder="1" applyAlignme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204" fontId="20" fillId="0" borderId="4" xfId="0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7" fillId="2" borderId="4" xfId="0" applyFont="1" applyFill="1" applyBorder="1" applyAlignment="1">
      <alignment horizontal="center" vertical="center"/>
    </xf>
    <xf numFmtId="180" fontId="7" fillId="2" borderId="4" xfId="0" applyNumberFormat="1" applyFont="1" applyFill="1" applyBorder="1" applyAlignment="1">
      <alignment horizontal="center" vertical="center"/>
    </xf>
    <xf numFmtId="182" fontId="7" fillId="2" borderId="4" xfId="0" applyNumberFormat="1" applyFont="1" applyFill="1" applyBorder="1" applyAlignment="1">
      <alignment horizontal="center" vertical="center"/>
    </xf>
    <xf numFmtId="184" fontId="7" fillId="2" borderId="4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06" fontId="48" fillId="0" borderId="0" xfId="0" applyNumberFormat="1" applyFont="1" applyAlignment="1">
      <alignment horizontal="right" vertical="center"/>
    </xf>
    <xf numFmtId="0" fontId="47" fillId="0" borderId="0" xfId="0" applyFont="1" applyAlignment="1">
      <alignment vertical="center" wrapText="1"/>
    </xf>
    <xf numFmtId="0" fontId="20" fillId="0" borderId="70" xfId="0" applyFont="1" applyBorder="1" applyAlignment="1">
      <alignment horizontal="center" vertical="center" wrapText="1"/>
    </xf>
    <xf numFmtId="177" fontId="34" fillId="0" borderId="71" xfId="0" applyNumberFormat="1" applyFont="1" applyBorder="1">
      <alignment vertical="center"/>
    </xf>
    <xf numFmtId="177" fontId="34" fillId="0" borderId="72" xfId="0" applyNumberFormat="1" applyFont="1" applyBorder="1">
      <alignment vertical="center"/>
    </xf>
    <xf numFmtId="207" fontId="34" fillId="0" borderId="72" xfId="0" applyNumberFormat="1" applyFont="1" applyBorder="1">
      <alignment vertical="center"/>
    </xf>
    <xf numFmtId="177" fontId="34" fillId="0" borderId="73" xfId="0" applyNumberFormat="1" applyFont="1" applyBorder="1">
      <alignment vertical="center"/>
    </xf>
    <xf numFmtId="177" fontId="20" fillId="0" borderId="0" xfId="0" applyNumberFormat="1" applyFont="1">
      <alignment vertical="center"/>
    </xf>
    <xf numFmtId="0" fontId="34" fillId="0" borderId="31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 wrapText="1"/>
    </xf>
    <xf numFmtId="0" fontId="34" fillId="0" borderId="7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209" fontId="20" fillId="0" borderId="4" xfId="0" applyNumberFormat="1" applyFont="1" applyBorder="1" applyAlignment="1">
      <alignment horizontal="center" vertical="center"/>
    </xf>
    <xf numFmtId="210" fontId="20" fillId="0" borderId="4" xfId="0" applyNumberFormat="1" applyFont="1" applyBorder="1" applyAlignment="1">
      <alignment horizontal="center" vertical="center"/>
    </xf>
    <xf numFmtId="211" fontId="20" fillId="0" borderId="4" xfId="0" applyNumberFormat="1" applyFont="1" applyBorder="1" applyAlignment="1">
      <alignment horizontal="center" vertical="center"/>
    </xf>
    <xf numFmtId="179" fontId="33" fillId="0" borderId="0" xfId="0" applyNumberFormat="1" applyFont="1" applyAlignment="1">
      <alignment horizontal="center" vertical="center"/>
    </xf>
    <xf numFmtId="212" fontId="20" fillId="0" borderId="4" xfId="0" applyNumberFormat="1" applyFont="1" applyBorder="1" applyAlignment="1">
      <alignment horizontal="center" vertical="center"/>
    </xf>
    <xf numFmtId="213" fontId="20" fillId="0" borderId="4" xfId="0" applyNumberFormat="1" applyFont="1" applyBorder="1" applyAlignment="1">
      <alignment horizontal="center" vertical="center"/>
    </xf>
    <xf numFmtId="214" fontId="20" fillId="0" borderId="4" xfId="0" applyNumberFormat="1" applyFont="1" applyBorder="1" applyAlignment="1">
      <alignment horizontal="center" vertical="center"/>
    </xf>
    <xf numFmtId="216" fontId="20" fillId="0" borderId="4" xfId="0" applyNumberFormat="1" applyFont="1" applyBorder="1" applyAlignment="1">
      <alignment horizontal="center" vertical="center"/>
    </xf>
    <xf numFmtId="218" fontId="20" fillId="0" borderId="4" xfId="0" applyNumberFormat="1" applyFont="1" applyBorder="1" applyAlignment="1">
      <alignment horizontal="center" vertical="center"/>
    </xf>
    <xf numFmtId="208" fontId="20" fillId="0" borderId="4" xfId="0" applyNumberFormat="1" applyFont="1" applyBorder="1" applyAlignment="1">
      <alignment horizontal="center" vertical="center"/>
    </xf>
    <xf numFmtId="0" fontId="20" fillId="0" borderId="11" xfId="5" applyFont="1" applyBorder="1" applyAlignment="1">
      <alignment horizontal="center" wrapText="1"/>
    </xf>
    <xf numFmtId="215" fontId="20" fillId="0" borderId="4" xfId="0" applyNumberFormat="1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 wrapText="1"/>
    </xf>
    <xf numFmtId="177" fontId="55" fillId="0" borderId="34" xfId="0" applyNumberFormat="1" applyFont="1" applyBorder="1" applyAlignment="1">
      <alignment horizontal="center" vertical="center"/>
    </xf>
    <xf numFmtId="217" fontId="20" fillId="0" borderId="4" xfId="0" applyNumberFormat="1" applyFont="1" applyBorder="1" applyAlignment="1">
      <alignment horizontal="center" vertical="center"/>
    </xf>
    <xf numFmtId="0" fontId="47" fillId="0" borderId="0" xfId="0" applyFont="1">
      <alignment vertical="center"/>
    </xf>
    <xf numFmtId="0" fontId="34" fillId="0" borderId="71" xfId="0" applyFont="1" applyBorder="1" applyAlignment="1">
      <alignment horizontal="center" vertical="center" wrapText="1"/>
    </xf>
    <xf numFmtId="177" fontId="55" fillId="0" borderId="7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96" fontId="20" fillId="0" borderId="0" xfId="0" applyNumberFormat="1" applyFont="1" applyAlignment="1">
      <alignment horizontal="center" vertical="center"/>
    </xf>
    <xf numFmtId="193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1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211" fontId="20" fillId="0" borderId="0" xfId="0" applyNumberFormat="1" applyFont="1" applyAlignment="1">
      <alignment horizontal="center" vertical="center"/>
    </xf>
    <xf numFmtId="206" fontId="47" fillId="0" borderId="0" xfId="0" applyNumberFormat="1" applyFont="1" applyAlignment="1">
      <alignment horizontal="center" vertical="center" wrapText="1"/>
    </xf>
    <xf numFmtId="205" fontId="20" fillId="2" borderId="0" xfId="0" applyNumberFormat="1" applyFont="1" applyFill="1" applyAlignment="1">
      <alignment horizontal="center" vertical="center"/>
    </xf>
    <xf numFmtId="220" fontId="20" fillId="0" borderId="0" xfId="0" applyNumberFormat="1" applyFont="1" applyAlignment="1">
      <alignment horizontal="center" vertical="center"/>
    </xf>
    <xf numFmtId="220" fontId="24" fillId="0" borderId="0" xfId="0" applyNumberFormat="1" applyFont="1" applyAlignment="1">
      <alignment horizontal="center" vertical="center" wrapText="1"/>
    </xf>
    <xf numFmtId="177" fontId="20" fillId="0" borderId="0" xfId="0" applyNumberFormat="1" applyFont="1" applyAlignment="1">
      <alignment horizontal="center" vertical="center"/>
    </xf>
    <xf numFmtId="220" fontId="20" fillId="0" borderId="0" xfId="0" applyNumberFormat="1" applyFont="1">
      <alignment vertical="center"/>
    </xf>
    <xf numFmtId="218" fontId="20" fillId="0" borderId="0" xfId="0" applyNumberFormat="1" applyFont="1" applyAlignment="1">
      <alignment horizontal="center" vertical="center"/>
    </xf>
    <xf numFmtId="208" fontId="20" fillId="0" borderId="0" xfId="0" applyNumberFormat="1" applyFont="1" applyAlignment="1">
      <alignment horizontal="center" vertical="center"/>
    </xf>
    <xf numFmtId="221" fontId="20" fillId="0" borderId="0" xfId="0" applyNumberFormat="1" applyFont="1">
      <alignment vertical="center"/>
    </xf>
    <xf numFmtId="222" fontId="20" fillId="0" borderId="0" xfId="0" applyNumberFormat="1" applyFont="1">
      <alignment vertical="center"/>
    </xf>
    <xf numFmtId="219" fontId="20" fillId="0" borderId="0" xfId="0" applyNumberFormat="1" applyFont="1" applyAlignment="1">
      <alignment horizontal="center" vertical="center"/>
    </xf>
    <xf numFmtId="200" fontId="20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0" fillId="0" borderId="3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79" fontId="20" fillId="2" borderId="34" xfId="0" applyNumberFormat="1" applyFont="1" applyFill="1" applyBorder="1" applyAlignment="1">
      <alignment horizontal="center" vertical="center"/>
    </xf>
    <xf numFmtId="203" fontId="20" fillId="0" borderId="0" xfId="0" applyNumberFormat="1" applyFont="1">
      <alignment vertical="center"/>
    </xf>
    <xf numFmtId="223" fontId="20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180" fontId="7" fillId="2" borderId="0" xfId="0" applyNumberFormat="1" applyFont="1" applyFill="1" applyAlignment="1">
      <alignment horizontal="center" vertical="center"/>
    </xf>
    <xf numFmtId="0" fontId="58" fillId="0" borderId="0" xfId="0" applyFont="1">
      <alignment vertical="center"/>
    </xf>
    <xf numFmtId="1" fontId="26" fillId="0" borderId="0" xfId="0" applyNumberFormat="1" applyFont="1">
      <alignment vertical="center"/>
    </xf>
    <xf numFmtId="186" fontId="20" fillId="0" borderId="0" xfId="0" applyNumberFormat="1" applyFont="1" applyAlignment="1">
      <alignment horizontal="left" vertical="center"/>
    </xf>
    <xf numFmtId="196" fontId="20" fillId="3" borderId="4" xfId="0" applyNumberFormat="1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/>
    </xf>
    <xf numFmtId="225" fontId="20" fillId="0" borderId="4" xfId="0" applyNumberFormat="1" applyFont="1" applyBorder="1" applyAlignment="1">
      <alignment horizontal="center" vertical="center"/>
    </xf>
    <xf numFmtId="16" fontId="60" fillId="0" borderId="0" xfId="0" quotePrefix="1" applyNumberFormat="1" applyFont="1">
      <alignment vertical="center"/>
    </xf>
    <xf numFmtId="16" fontId="61" fillId="0" borderId="0" xfId="0" quotePrefix="1" applyNumberFormat="1" applyFont="1">
      <alignment vertical="center"/>
    </xf>
    <xf numFmtId="188" fontId="20" fillId="0" borderId="0" xfId="0" applyNumberFormat="1" applyFont="1" applyAlignment="1">
      <alignment horizontal="center" vertical="center"/>
    </xf>
    <xf numFmtId="0" fontId="20" fillId="2" borderId="80" xfId="0" applyFont="1" applyFill="1" applyBorder="1" applyAlignment="1">
      <alignment horizontal="center" vertical="center"/>
    </xf>
    <xf numFmtId="179" fontId="7" fillId="2" borderId="4" xfId="0" applyNumberFormat="1" applyFont="1" applyFill="1" applyBorder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179" fontId="20" fillId="0" borderId="34" xfId="0" applyNumberFormat="1" applyFont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226" fontId="20" fillId="0" borderId="4" xfId="0" applyNumberFormat="1" applyFont="1" applyBorder="1" applyAlignment="1">
      <alignment horizontal="center" vertical="center"/>
    </xf>
    <xf numFmtId="2" fontId="0" fillId="0" borderId="4" xfId="0" applyNumberFormat="1" applyBorder="1">
      <alignment vertical="center"/>
    </xf>
    <xf numFmtId="0" fontId="0" fillId="0" borderId="11" xfId="0" applyBorder="1">
      <alignment vertical="center"/>
    </xf>
    <xf numFmtId="196" fontId="20" fillId="4" borderId="4" xfId="0" applyNumberFormat="1" applyFont="1" applyFill="1" applyBorder="1" applyAlignment="1">
      <alignment horizontal="center" vertical="center"/>
    </xf>
    <xf numFmtId="196" fontId="7" fillId="5" borderId="4" xfId="0" applyNumberFormat="1" applyFont="1" applyFill="1" applyBorder="1" applyAlignment="1">
      <alignment horizontal="center" vertical="center"/>
    </xf>
    <xf numFmtId="0" fontId="34" fillId="0" borderId="68" xfId="0" applyFont="1" applyBorder="1" applyAlignment="1">
      <alignment horizontal="center" vertical="center" wrapText="1"/>
    </xf>
    <xf numFmtId="177" fontId="55" fillId="0" borderId="86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227" fontId="20" fillId="2" borderId="6" xfId="4" applyNumberFormat="1" applyFont="1" applyFill="1" applyBorder="1" applyAlignment="1">
      <alignment horizontal="center" vertical="center"/>
    </xf>
    <xf numFmtId="185" fontId="20" fillId="0" borderId="59" xfId="0" applyNumberFormat="1" applyFont="1" applyBorder="1" applyAlignment="1">
      <alignment horizontal="center" vertical="center"/>
    </xf>
    <xf numFmtId="228" fontId="20" fillId="0" borderId="59" xfId="0" applyNumberFormat="1" applyFont="1" applyBorder="1" applyAlignment="1">
      <alignment horizontal="center" vertical="center"/>
    </xf>
    <xf numFmtId="16" fontId="20" fillId="2" borderId="69" xfId="0" quotePrefix="1" applyNumberFormat="1" applyFont="1" applyFill="1" applyBorder="1" applyAlignment="1">
      <alignment horizontal="center" vertical="center"/>
    </xf>
    <xf numFmtId="16" fontId="20" fillId="2" borderId="51" xfId="0" quotePrefix="1" applyNumberFormat="1" applyFont="1" applyFill="1" applyBorder="1" applyAlignment="1">
      <alignment horizontal="center" vertical="center"/>
    </xf>
    <xf numFmtId="0" fontId="20" fillId="0" borderId="11" xfId="0" applyFont="1" applyBorder="1">
      <alignment vertical="center"/>
    </xf>
    <xf numFmtId="181" fontId="20" fillId="2" borderId="6" xfId="0" applyNumberFormat="1" applyFont="1" applyFill="1" applyBorder="1" applyAlignment="1">
      <alignment horizontal="center" vertical="center"/>
    </xf>
    <xf numFmtId="1" fontId="20" fillId="2" borderId="6" xfId="0" applyNumberFormat="1" applyFont="1" applyFill="1" applyBorder="1" applyAlignment="1">
      <alignment horizontal="center" vertical="center"/>
    </xf>
    <xf numFmtId="0" fontId="20" fillId="2" borderId="82" xfId="0" applyFont="1" applyFill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230" fontId="20" fillId="2" borderId="6" xfId="0" applyNumberFormat="1" applyFont="1" applyFill="1" applyBorder="1" applyAlignment="1">
      <alignment horizontal="center" vertical="center"/>
    </xf>
    <xf numFmtId="1" fontId="20" fillId="0" borderId="14" xfId="0" applyNumberFormat="1" applyFont="1" applyBorder="1">
      <alignment vertical="center"/>
    </xf>
    <xf numFmtId="227" fontId="20" fillId="2" borderId="4" xfId="4" applyNumberFormat="1" applyFont="1" applyFill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231" fontId="20" fillId="0" borderId="4" xfId="0" applyNumberFormat="1" applyFont="1" applyBorder="1" applyAlignment="1">
      <alignment horizontal="center" vertical="center"/>
    </xf>
    <xf numFmtId="16" fontId="20" fillId="2" borderId="67" xfId="0" quotePrefix="1" applyNumberFormat="1" applyFont="1" applyFill="1" applyBorder="1" applyAlignment="1">
      <alignment horizontal="center" vertical="center"/>
    </xf>
    <xf numFmtId="16" fontId="20" fillId="2" borderId="68" xfId="0" quotePrefix="1" applyNumberFormat="1" applyFont="1" applyFill="1" applyBorder="1" applyAlignment="1">
      <alignment horizontal="center" vertical="center"/>
    </xf>
    <xf numFmtId="185" fontId="20" fillId="0" borderId="4" xfId="0" applyNumberFormat="1" applyFont="1" applyBorder="1" applyAlignment="1">
      <alignment horizontal="center" vertical="center"/>
    </xf>
    <xf numFmtId="203" fontId="20" fillId="0" borderId="59" xfId="0" applyNumberFormat="1" applyFont="1" applyBorder="1" applyAlignment="1">
      <alignment horizontal="center" vertical="center"/>
    </xf>
    <xf numFmtId="1" fontId="20" fillId="2" borderId="4" xfId="0" applyNumberFormat="1" applyFont="1" applyFill="1" applyBorder="1" applyAlignment="1">
      <alignment horizontal="center" vertical="center"/>
    </xf>
    <xf numFmtId="1" fontId="20" fillId="2" borderId="14" xfId="0" applyNumberFormat="1" applyFont="1" applyFill="1" applyBorder="1" applyAlignment="1">
      <alignment horizontal="center" vertical="center"/>
    </xf>
    <xf numFmtId="1" fontId="20" fillId="2" borderId="7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205" fontId="20" fillId="0" borderId="4" xfId="0" applyNumberFormat="1" applyFont="1" applyBorder="1" applyAlignment="1">
      <alignment horizontal="center" vertical="center"/>
    </xf>
    <xf numFmtId="177" fontId="20" fillId="0" borderId="4" xfId="0" applyNumberFormat="1" applyFont="1" applyBorder="1" applyAlignment="1">
      <alignment horizontal="center" vertical="center"/>
    </xf>
    <xf numFmtId="177" fontId="20" fillId="0" borderId="3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 wrapText="1"/>
    </xf>
    <xf numFmtId="0" fontId="37" fillId="0" borderId="44" xfId="1" applyFont="1" applyBorder="1" applyAlignment="1">
      <alignment horizontal="left" vertical="center"/>
    </xf>
    <xf numFmtId="0" fontId="37" fillId="0" borderId="45" xfId="1" applyFont="1" applyBorder="1" applyAlignment="1">
      <alignment horizontal="left" vertical="center"/>
    </xf>
    <xf numFmtId="0" fontId="5" fillId="0" borderId="77" xfId="1" applyFont="1" applyBorder="1" applyAlignment="1">
      <alignment horizontal="left" vertical="center" wrapText="1"/>
    </xf>
    <xf numFmtId="0" fontId="5" fillId="0" borderId="78" xfId="1" applyFont="1" applyBorder="1" applyAlignment="1">
      <alignment horizontal="left" vertical="center" wrapText="1"/>
    </xf>
    <xf numFmtId="0" fontId="5" fillId="0" borderId="20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26" xfId="1" applyFont="1" applyBorder="1" applyAlignment="1">
      <alignment horizontal="left" vertical="center" wrapText="1"/>
    </xf>
    <xf numFmtId="0" fontId="5" fillId="0" borderId="27" xfId="1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0" fillId="0" borderId="35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47" fillId="0" borderId="67" xfId="0" applyFont="1" applyBorder="1" applyAlignment="1">
      <alignment horizontal="center" vertical="center" wrapText="1"/>
    </xf>
    <xf numFmtId="0" fontId="47" fillId="0" borderId="68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16" fontId="20" fillId="2" borderId="51" xfId="0" quotePrefix="1" applyNumberFormat="1" applyFont="1" applyFill="1" applyBorder="1" applyAlignment="1">
      <alignment horizontal="center" vertical="center"/>
    </xf>
    <xf numFmtId="16" fontId="20" fillId="2" borderId="67" xfId="0" quotePrefix="1" applyNumberFormat="1" applyFont="1" applyFill="1" applyBorder="1" applyAlignment="1">
      <alignment horizontal="center" vertical="center"/>
    </xf>
    <xf numFmtId="16" fontId="20" fillId="2" borderId="68" xfId="0" quotePrefix="1" applyNumberFormat="1" applyFont="1" applyFill="1" applyBorder="1" applyAlignment="1">
      <alignment horizontal="center" vertical="center"/>
    </xf>
    <xf numFmtId="177" fontId="22" fillId="0" borderId="5" xfId="0" applyNumberFormat="1" applyFont="1" applyBorder="1" applyAlignment="1">
      <alignment horizontal="center" vertical="center"/>
    </xf>
    <xf numFmtId="177" fontId="22" fillId="0" borderId="23" xfId="0" applyNumberFormat="1" applyFont="1" applyBorder="1" applyAlignment="1">
      <alignment horizontal="center" vertical="center"/>
    </xf>
    <xf numFmtId="177" fontId="22" fillId="0" borderId="29" xfId="0" applyNumberFormat="1" applyFont="1" applyBorder="1" applyAlignment="1">
      <alignment horizontal="center" vertical="center"/>
    </xf>
    <xf numFmtId="177" fontId="22" fillId="0" borderId="30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181" fontId="20" fillId="0" borderId="5" xfId="0" applyNumberFormat="1" applyFont="1" applyBorder="1" applyAlignment="1">
      <alignment horizontal="center" vertical="center"/>
    </xf>
    <xf numFmtId="181" fontId="20" fillId="0" borderId="6" xfId="0" applyNumberFormat="1" applyFont="1" applyBorder="1" applyAlignment="1">
      <alignment horizontal="center" vertical="center"/>
    </xf>
    <xf numFmtId="181" fontId="20" fillId="0" borderId="7" xfId="0" applyNumberFormat="1" applyFont="1" applyBorder="1" applyAlignment="1">
      <alignment horizontal="center" vertical="center"/>
    </xf>
    <xf numFmtId="181" fontId="20" fillId="0" borderId="29" xfId="0" applyNumberFormat="1" applyFont="1" applyBorder="1" applyAlignment="1">
      <alignment horizontal="center" vertical="center"/>
    </xf>
    <xf numFmtId="181" fontId="20" fillId="0" borderId="27" xfId="0" applyNumberFormat="1" applyFont="1" applyBorder="1" applyAlignment="1">
      <alignment horizontal="center" vertical="center"/>
    </xf>
    <xf numFmtId="181" fontId="20" fillId="0" borderId="2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24" fontId="20" fillId="0" borderId="53" xfId="0" applyNumberFormat="1" applyFont="1" applyBorder="1" applyAlignment="1">
      <alignment horizontal="center" vertical="center"/>
    </xf>
    <xf numFmtId="224" fontId="20" fillId="0" borderId="59" xfId="0" applyNumberFormat="1" applyFont="1" applyBorder="1" applyAlignment="1">
      <alignment horizontal="center" vertical="center"/>
    </xf>
    <xf numFmtId="179" fontId="20" fillId="0" borderId="65" xfId="0" applyNumberFormat="1" applyFont="1" applyBorder="1" applyAlignment="1">
      <alignment horizontal="center" vertical="center"/>
    </xf>
    <xf numFmtId="179" fontId="20" fillId="0" borderId="60" xfId="0" applyNumberFormat="1" applyFont="1" applyBorder="1" applyAlignment="1">
      <alignment horizontal="center" vertical="center"/>
    </xf>
    <xf numFmtId="200" fontId="20" fillId="2" borderId="82" xfId="0" applyNumberFormat="1" applyFont="1" applyFill="1" applyBorder="1" applyAlignment="1">
      <alignment horizontal="center" vertical="center"/>
    </xf>
    <xf numFmtId="200" fontId="20" fillId="2" borderId="84" xfId="0" applyNumberFormat="1" applyFont="1" applyFill="1" applyBorder="1" applyAlignment="1">
      <alignment horizontal="center" vertical="center"/>
    </xf>
    <xf numFmtId="187" fontId="20" fillId="0" borderId="85" xfId="0" applyNumberFormat="1" applyFont="1" applyBorder="1" applyAlignment="1">
      <alignment horizontal="center" vertical="center"/>
    </xf>
    <xf numFmtId="187" fontId="20" fillId="0" borderId="14" xfId="0" applyNumberFormat="1" applyFont="1" applyBorder="1" applyAlignment="1">
      <alignment horizontal="center" vertical="center"/>
    </xf>
    <xf numFmtId="232" fontId="20" fillId="0" borderId="53" xfId="0" applyNumberFormat="1" applyFont="1" applyBorder="1" applyAlignment="1">
      <alignment horizontal="center" vertical="center"/>
    </xf>
    <xf numFmtId="232" fontId="20" fillId="0" borderId="59" xfId="0" applyNumberFormat="1" applyFont="1" applyBorder="1" applyAlignment="1">
      <alignment horizontal="center" vertical="center"/>
    </xf>
    <xf numFmtId="0" fontId="30" fillId="0" borderId="0" xfId="1" applyFont="1" applyAlignment="1">
      <alignment horizontal="left" vertical="center"/>
    </xf>
    <xf numFmtId="0" fontId="5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6" fontId="20" fillId="0" borderId="85" xfId="0" applyNumberFormat="1" applyFont="1" applyBorder="1" applyAlignment="1">
      <alignment horizontal="center" vertical="center"/>
    </xf>
    <xf numFmtId="186" fontId="20" fillId="0" borderId="14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202" fontId="20" fillId="2" borderId="82" xfId="0" applyNumberFormat="1" applyFont="1" applyFill="1" applyBorder="1" applyAlignment="1">
      <alignment horizontal="center" vertical="center"/>
    </xf>
    <xf numFmtId="202" fontId="20" fillId="2" borderId="89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" fontId="20" fillId="0" borderId="52" xfId="0" applyNumberFormat="1" applyFont="1" applyBorder="1" applyAlignment="1">
      <alignment horizontal="center" vertical="center" wrapText="1"/>
    </xf>
    <xf numFmtId="1" fontId="20" fillId="0" borderId="53" xfId="0" applyNumberFormat="1" applyFont="1" applyBorder="1" applyAlignment="1">
      <alignment horizontal="center" vertical="center" wrapText="1"/>
    </xf>
    <xf numFmtId="0" fontId="7" fillId="0" borderId="20" xfId="0" applyFont="1" applyBorder="1">
      <alignment vertical="center"/>
    </xf>
    <xf numFmtId="0" fontId="7" fillId="0" borderId="0" xfId="0" applyFont="1">
      <alignment vertical="center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5" fillId="0" borderId="79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7" fillId="0" borderId="76" xfId="1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200" fontId="20" fillId="2" borderId="89" xfId="0" applyNumberFormat="1" applyFont="1" applyFill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99" fontId="20" fillId="2" borderId="82" xfId="0" applyNumberFormat="1" applyFont="1" applyFill="1" applyBorder="1" applyAlignment="1">
      <alignment horizontal="center" vertical="center"/>
    </xf>
    <xf numFmtId="199" fontId="20" fillId="2" borderId="89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/>
    </xf>
    <xf numFmtId="0" fontId="20" fillId="0" borderId="34" xfId="0" applyFont="1" applyBorder="1" applyAlignment="1">
      <alignment horizontal="center" vertical="top"/>
    </xf>
    <xf numFmtId="1" fontId="20" fillId="2" borderId="13" xfId="0" applyNumberFormat="1" applyFont="1" applyFill="1" applyBorder="1" applyAlignment="1">
      <alignment horizontal="center" vertical="center"/>
    </xf>
    <xf numFmtId="1" fontId="20" fillId="2" borderId="14" xfId="0" applyNumberFormat="1" applyFont="1" applyFill="1" applyBorder="1" applyAlignment="1">
      <alignment horizontal="center" vertical="center"/>
    </xf>
    <xf numFmtId="1" fontId="20" fillId="2" borderId="53" xfId="0" applyNumberFormat="1" applyFont="1" applyFill="1" applyBorder="1" applyAlignment="1">
      <alignment horizontal="center" vertical="center"/>
    </xf>
    <xf numFmtId="178" fontId="20" fillId="0" borderId="10" xfId="0" applyNumberFormat="1" applyFont="1" applyBorder="1" applyAlignment="1">
      <alignment horizontal="center" vertical="center"/>
    </xf>
    <xf numFmtId="178" fontId="20" fillId="0" borderId="11" xfId="0" applyNumberFormat="1" applyFont="1" applyBorder="1" applyAlignment="1">
      <alignment horizontal="center" vertical="center"/>
    </xf>
    <xf numFmtId="177" fontId="20" fillId="0" borderId="10" xfId="0" applyNumberFormat="1" applyFont="1" applyBorder="1" applyAlignment="1">
      <alignment horizontal="center" vertical="center"/>
    </xf>
    <xf numFmtId="177" fontId="20" fillId="0" borderId="35" xfId="0" applyNumberFormat="1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22" fillId="0" borderId="64" xfId="0" applyNumberFormat="1" applyFont="1" applyBorder="1" applyAlignment="1">
      <alignment horizontal="center" vertical="center"/>
    </xf>
    <xf numFmtId="0" fontId="7" fillId="0" borderId="44" xfId="1" applyFont="1" applyBorder="1" applyAlignment="1">
      <alignment horizontal="left" vertical="center"/>
    </xf>
    <xf numFmtId="0" fontId="7" fillId="0" borderId="45" xfId="1" applyFont="1" applyBorder="1" applyAlignment="1">
      <alignment horizontal="left" vertical="center"/>
    </xf>
    <xf numFmtId="0" fontId="7" fillId="0" borderId="46" xfId="1" applyFont="1" applyBorder="1" applyAlignment="1">
      <alignment horizontal="left" vertical="center"/>
    </xf>
    <xf numFmtId="0" fontId="7" fillId="0" borderId="42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7" fillId="0" borderId="43" xfId="1" applyFont="1" applyBorder="1" applyAlignment="1">
      <alignment horizontal="left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178" fontId="20" fillId="0" borderId="4" xfId="0" applyNumberFormat="1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200" fontId="20" fillId="2" borderId="4" xfId="0" applyNumberFormat="1" applyFont="1" applyFill="1" applyBorder="1" applyAlignment="1">
      <alignment horizontal="center" vertical="center"/>
    </xf>
    <xf numFmtId="186" fontId="20" fillId="0" borderId="13" xfId="0" applyNumberFormat="1" applyFont="1" applyBorder="1" applyAlignment="1">
      <alignment horizontal="center" vertical="center"/>
    </xf>
    <xf numFmtId="1" fontId="20" fillId="0" borderId="13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79" fontId="20" fillId="0" borderId="54" xfId="0" applyNumberFormat="1" applyFont="1" applyBorder="1" applyAlignment="1">
      <alignment horizontal="center" vertical="center"/>
    </xf>
    <xf numFmtId="200" fontId="20" fillId="2" borderId="10" xfId="0" applyNumberFormat="1" applyFont="1" applyFill="1" applyBorder="1" applyAlignment="1">
      <alignment horizontal="center" vertical="center"/>
    </xf>
    <xf numFmtId="200" fontId="20" fillId="2" borderId="11" xfId="0" applyNumberFormat="1" applyFont="1" applyFill="1" applyBorder="1" applyAlignment="1">
      <alignment horizontal="center" vertical="center"/>
    </xf>
    <xf numFmtId="1" fontId="20" fillId="0" borderId="59" xfId="0" applyNumberFormat="1" applyFont="1" applyBorder="1" applyAlignment="1">
      <alignment horizontal="center" vertical="center"/>
    </xf>
    <xf numFmtId="187" fontId="20" fillId="0" borderId="13" xfId="0" applyNumberFormat="1" applyFont="1" applyBorder="1" applyAlignment="1">
      <alignment horizontal="center" vertical="center"/>
    </xf>
    <xf numFmtId="199" fontId="20" fillId="2" borderId="4" xfId="0" applyNumberFormat="1" applyFont="1" applyFill="1" applyBorder="1" applyAlignment="1">
      <alignment horizontal="center" vertical="center"/>
    </xf>
    <xf numFmtId="0" fontId="7" fillId="0" borderId="48" xfId="1" applyFont="1" applyBorder="1" applyAlignment="1">
      <alignment horizontal="left" vertical="center"/>
    </xf>
    <xf numFmtId="0" fontId="7" fillId="0" borderId="49" xfId="1" applyFont="1" applyBorder="1" applyAlignment="1">
      <alignment horizontal="left" vertical="center"/>
    </xf>
    <xf numFmtId="0" fontId="7" fillId="0" borderId="50" xfId="1" applyFont="1" applyBorder="1" applyAlignment="1">
      <alignment horizontal="left" vertical="center"/>
    </xf>
    <xf numFmtId="0" fontId="7" fillId="0" borderId="55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205" fontId="34" fillId="2" borderId="4" xfId="0" applyNumberFormat="1" applyFont="1" applyFill="1" applyBorder="1" applyAlignment="1">
      <alignment horizontal="center" vertical="center"/>
    </xf>
    <xf numFmtId="205" fontId="34" fillId="2" borderId="72" xfId="0" applyNumberFormat="1" applyFont="1" applyFill="1" applyBorder="1" applyAlignment="1">
      <alignment horizontal="center" vertical="center"/>
    </xf>
    <xf numFmtId="177" fontId="34" fillId="0" borderId="4" xfId="0" applyNumberFormat="1" applyFont="1" applyBorder="1" applyAlignment="1">
      <alignment horizontal="center" vertical="center"/>
    </xf>
    <xf numFmtId="177" fontId="34" fillId="0" borderId="72" xfId="0" applyNumberFormat="1" applyFont="1" applyBorder="1" applyAlignment="1">
      <alignment horizontal="center" vertical="center"/>
    </xf>
    <xf numFmtId="229" fontId="34" fillId="2" borderId="34" xfId="0" applyNumberFormat="1" applyFont="1" applyFill="1" applyBorder="1" applyAlignment="1">
      <alignment horizontal="center" vertical="center"/>
    </xf>
    <xf numFmtId="229" fontId="34" fillId="2" borderId="73" xfId="0" applyNumberFormat="1" applyFont="1" applyFill="1" applyBorder="1" applyAlignment="1">
      <alignment horizontal="center" vertical="center"/>
    </xf>
    <xf numFmtId="208" fontId="34" fillId="2" borderId="34" xfId="0" applyNumberFormat="1" applyFont="1" applyFill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218" fontId="34" fillId="2" borderId="34" xfId="0" applyNumberFormat="1" applyFont="1" applyFill="1" applyBorder="1" applyAlignment="1">
      <alignment horizontal="center" vertical="center"/>
    </xf>
    <xf numFmtId="219" fontId="34" fillId="2" borderId="34" xfId="0" applyNumberFormat="1" applyFont="1" applyFill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206" fontId="34" fillId="0" borderId="13" xfId="0" applyNumberFormat="1" applyFont="1" applyBorder="1" applyAlignment="1">
      <alignment horizontal="center" vertical="center"/>
    </xf>
    <xf numFmtId="206" fontId="34" fillId="0" borderId="59" xfId="0" applyNumberFormat="1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/>
    </xf>
    <xf numFmtId="0" fontId="34" fillId="2" borderId="72" xfId="0" applyFont="1" applyFill="1" applyBorder="1" applyAlignment="1">
      <alignment horizontal="center" vertical="center"/>
    </xf>
    <xf numFmtId="206" fontId="34" fillId="0" borderId="14" xfId="0" applyNumberFormat="1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2" borderId="13" xfId="0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4" fillId="0" borderId="74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211" fontId="34" fillId="2" borderId="54" xfId="0" applyNumberFormat="1" applyFont="1" applyFill="1" applyBorder="1" applyAlignment="1">
      <alignment horizontal="center" vertical="center"/>
    </xf>
    <xf numFmtId="211" fontId="34" fillId="2" borderId="86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16" fontId="60" fillId="0" borderId="0" xfId="0" quotePrefix="1" applyNumberFormat="1" applyFont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180" fontId="33" fillId="2" borderId="0" xfId="0" applyNumberFormat="1" applyFont="1" applyFill="1" applyBorder="1" applyAlignment="1">
      <alignment horizontal="center" vertical="center"/>
    </xf>
    <xf numFmtId="182" fontId="33" fillId="2" borderId="0" xfId="0" applyNumberFormat="1" applyFont="1" applyFill="1" applyBorder="1" applyAlignment="1">
      <alignment horizontal="center" vertical="center"/>
    </xf>
    <xf numFmtId="184" fontId="33" fillId="2" borderId="0" xfId="0" applyNumberFormat="1" applyFont="1" applyFill="1" applyBorder="1" applyAlignment="1">
      <alignment horizontal="center" vertical="center"/>
    </xf>
    <xf numFmtId="179" fontId="33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80" fontId="7" fillId="2" borderId="0" xfId="0" applyNumberFormat="1" applyFont="1" applyFill="1" applyBorder="1" applyAlignment="1">
      <alignment horizontal="center" vertical="center"/>
    </xf>
    <xf numFmtId="182" fontId="7" fillId="2" borderId="0" xfId="0" applyNumberFormat="1" applyFont="1" applyFill="1" applyBorder="1" applyAlignment="1">
      <alignment horizontal="center" vertical="center"/>
    </xf>
    <xf numFmtId="184" fontId="7" fillId="2" borderId="0" xfId="0" applyNumberFormat="1" applyFont="1" applyFill="1" applyBorder="1" applyAlignment="1">
      <alignment horizontal="center" vertical="center"/>
    </xf>
    <xf numFmtId="179" fontId="7" fillId="2" borderId="0" xfId="0" applyNumberFormat="1" applyFont="1" applyFill="1" applyBorder="1" applyAlignment="1">
      <alignment horizontal="center" vertical="center"/>
    </xf>
    <xf numFmtId="0" fontId="20" fillId="0" borderId="0" xfId="0" applyFont="1" applyBorder="1">
      <alignment vertical="center"/>
    </xf>
    <xf numFmtId="0" fontId="7" fillId="0" borderId="0" xfId="0" applyFont="1" applyBorder="1">
      <alignment vertical="center"/>
    </xf>
    <xf numFmtId="223" fontId="20" fillId="0" borderId="0" xfId="0" applyNumberFormat="1" applyFont="1" applyBorder="1">
      <alignment vertical="center"/>
    </xf>
    <xf numFmtId="0" fontId="20" fillId="0" borderId="0" xfId="0" applyFont="1" applyBorder="1" applyAlignment="1">
      <alignment horizontal="center" vertical="center"/>
    </xf>
    <xf numFmtId="194" fontId="20" fillId="0" borderId="0" xfId="0" applyNumberFormat="1" applyFont="1" applyBorder="1">
      <alignment vertical="center"/>
    </xf>
    <xf numFmtId="0" fontId="20" fillId="2" borderId="0" xfId="0" applyFont="1" applyFill="1" applyBorder="1" applyAlignment="1">
      <alignment horizontal="center" vertical="center"/>
    </xf>
    <xf numFmtId="180" fontId="20" fillId="2" borderId="0" xfId="0" applyNumberFormat="1" applyFont="1" applyFill="1" applyBorder="1" applyAlignment="1">
      <alignment horizontal="center" vertical="center"/>
    </xf>
    <xf numFmtId="182" fontId="20" fillId="2" borderId="0" xfId="0" applyNumberFormat="1" applyFont="1" applyFill="1" applyBorder="1" applyAlignment="1">
      <alignment horizontal="center" vertical="center"/>
    </xf>
    <xf numFmtId="184" fontId="20" fillId="2" borderId="0" xfId="0" applyNumberFormat="1" applyFont="1" applyFill="1" applyBorder="1" applyAlignment="1">
      <alignment horizontal="center" vertical="center"/>
    </xf>
    <xf numFmtId="179" fontId="20" fillId="2" borderId="0" xfId="0" applyNumberFormat="1" applyFont="1" applyFill="1" applyBorder="1" applyAlignment="1">
      <alignment horizontal="center" vertical="center"/>
    </xf>
    <xf numFmtId="0" fontId="20" fillId="2" borderId="0" xfId="0" applyFont="1" applyFill="1" applyBorder="1">
      <alignment vertical="center"/>
    </xf>
    <xf numFmtId="0" fontId="36" fillId="0" borderId="0" xfId="0" applyFont="1" applyBorder="1">
      <alignment vertical="center"/>
    </xf>
    <xf numFmtId="183" fontId="20" fillId="0" borderId="0" xfId="0" applyNumberFormat="1" applyFont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89" fontId="20" fillId="0" borderId="0" xfId="0" applyNumberFormat="1" applyFont="1" applyBorder="1" applyAlignment="1">
      <alignment horizontal="center" vertical="center"/>
    </xf>
    <xf numFmtId="193" fontId="20" fillId="0" borderId="0" xfId="0" applyNumberFormat="1" applyFont="1" applyBorder="1" applyAlignment="1">
      <alignment horizontal="center" vertical="center"/>
    </xf>
    <xf numFmtId="192" fontId="20" fillId="0" borderId="0" xfId="0" applyNumberFormat="1" applyFont="1" applyBorder="1">
      <alignment vertical="center"/>
    </xf>
    <xf numFmtId="179" fontId="20" fillId="0" borderId="0" xfId="0" applyNumberFormat="1" applyFont="1" applyBorder="1" applyAlignment="1">
      <alignment horizontal="center" vertical="center"/>
    </xf>
    <xf numFmtId="191" fontId="20" fillId="0" borderId="0" xfId="0" applyNumberFormat="1" applyFont="1" applyBorder="1">
      <alignment vertical="center"/>
    </xf>
    <xf numFmtId="195" fontId="20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</cellXfs>
  <cellStyles count="6">
    <cellStyle name="Normal 2" xfId="3" xr:uid="{00000000-0005-0000-0000-000002000000}"/>
    <cellStyle name="桁区切り [0.00]" xfId="4" builtinId="3"/>
    <cellStyle name="桁区切り 2" xfId="2" xr:uid="{00000000-0005-0000-0000-000003000000}"/>
    <cellStyle name="標準" xfId="0" builtinId="0"/>
    <cellStyle name="標準 2" xfId="1" xr:uid="{00000000-0005-0000-0000-000004000000}"/>
    <cellStyle name="標準 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912330</xdr:colOff>
      <xdr:row>7</xdr:row>
      <xdr:rowOff>33132</xdr:rowOff>
    </xdr:from>
    <xdr:to>
      <xdr:col>9</xdr:col>
      <xdr:colOff>596349</xdr:colOff>
      <xdr:row>12</xdr:row>
      <xdr:rowOff>74544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548C8C5-BE4A-45C8-AC2D-A621CD7CA5CF}"/>
            </a:ext>
          </a:extLst>
        </xdr:cNvPr>
        <xdr:cNvSpPr txBox="1"/>
      </xdr:nvSpPr>
      <xdr:spPr>
        <a:xfrm>
          <a:off x="5208105" y="1338057"/>
          <a:ext cx="3513069" cy="993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MASUDA VINYL VIETNAM</a:t>
          </a:r>
          <a:r>
            <a:rPr lang="en-US" altLang="ja-JP" sz="12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</a:t>
          </a:r>
        </a:p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Lô 1, Đồng vàng, Khu công nghiệp Đình Trám,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Phường</a:t>
          </a:r>
          <a:r>
            <a:rPr lang="en-US" altLang="ja-JP" sz="11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Nếnh</a:t>
          </a:r>
          <a:r>
            <a:rPr lang="en-US" altLang="ja-JP" sz="11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Tỉnh Bắc Ninh,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Việt Nam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TEL: (+84)204-3662-777         FAX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(+84)204-3662-825                              </a:t>
          </a:r>
          <a:r>
            <a:rPr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kumimoji="1" lang="ja-JP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704850</xdr:colOff>
      <xdr:row>53</xdr:row>
      <xdr:rowOff>28574</xdr:rowOff>
    </xdr:from>
    <xdr:to>
      <xdr:col>9</xdr:col>
      <xdr:colOff>1019175</xdr:colOff>
      <xdr:row>56</xdr:row>
      <xdr:rowOff>1276350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D74AA6-2D39-424E-9ABB-6C3CF1E5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13573124"/>
          <a:ext cx="3352800" cy="22764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MP/Dropbox/Nga/xuat%20cty%20me/Yeu%20c&#7847;u%20thanh%20to&#225;n/&#35531;&#27714;&#26360;MASUDA%20VN-JP%208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MP/Dropbox/Nga/xuat%20cty%20me/Yeu%20c&#7847;u%20thanh%20to&#225;n/&#35531;&#27714;&#26360;MASUDA%20VN-JP%209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Dropbox\Nga\xuat%20cty%20me\N&#259;m%202022\016.Mask.8.9-air\INVP%20MASUDA%20VN-JP%20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紙"/>
      <sheetName val="データ"/>
    </sheetNames>
    <sheetDataSet>
      <sheetData sheetId="0">
        <row r="29">
          <cell r="D29" t="str">
            <v>TABLE EDGE MG23</v>
          </cell>
          <cell r="E29">
            <v>0</v>
          </cell>
          <cell r="F29">
            <v>6000</v>
          </cell>
        </row>
        <row r="30">
          <cell r="D30">
            <v>0</v>
          </cell>
          <cell r="E30">
            <v>0</v>
          </cell>
          <cell r="F30">
            <v>0</v>
          </cell>
        </row>
        <row r="31">
          <cell r="D31" t="str">
            <v>MASUGOMU 4080</v>
          </cell>
          <cell r="E31">
            <v>0</v>
          </cell>
          <cell r="F31">
            <v>5200</v>
          </cell>
        </row>
        <row r="32">
          <cell r="D32">
            <v>0</v>
          </cell>
          <cell r="E32">
            <v>0</v>
          </cell>
          <cell r="F32">
            <v>0</v>
          </cell>
        </row>
        <row r="33">
          <cell r="D33" t="str">
            <v>MASUGOMU 4120</v>
          </cell>
          <cell r="E33">
            <v>0</v>
          </cell>
          <cell r="F33">
            <v>10080</v>
          </cell>
        </row>
        <row r="34">
          <cell r="D34">
            <v>0</v>
          </cell>
          <cell r="E34">
            <v>0</v>
          </cell>
          <cell r="F34">
            <v>0</v>
          </cell>
        </row>
        <row r="35">
          <cell r="D35" t="str">
            <v>MASUGOMU 4130</v>
          </cell>
          <cell r="E35">
            <v>0</v>
          </cell>
          <cell r="F35">
            <v>10260</v>
          </cell>
        </row>
        <row r="36">
          <cell r="D36">
            <v>0</v>
          </cell>
          <cell r="E36">
            <v>0</v>
          </cell>
          <cell r="F36">
            <v>0</v>
          </cell>
        </row>
        <row r="37">
          <cell r="D37" t="str">
            <v>MASUGOMU 4240</v>
          </cell>
          <cell r="E37">
            <v>0</v>
          </cell>
          <cell r="F37">
            <v>22320</v>
          </cell>
        </row>
        <row r="38">
          <cell r="D38">
            <v>0</v>
          </cell>
          <cell r="E38">
            <v>0</v>
          </cell>
          <cell r="F38">
            <v>0</v>
          </cell>
        </row>
        <row r="39">
          <cell r="D39" t="str">
            <v>KATEKUSU 3ø 100L</v>
          </cell>
          <cell r="E39">
            <v>0</v>
          </cell>
          <cell r="F39">
            <v>10000</v>
          </cell>
        </row>
        <row r="40">
          <cell r="D40">
            <v>0</v>
          </cell>
          <cell r="E40">
            <v>0</v>
          </cell>
          <cell r="F40">
            <v>0</v>
          </cell>
        </row>
        <row r="41">
          <cell r="D41" t="str">
            <v>KATEKUSU 2.5ø 100L</v>
          </cell>
          <cell r="E41">
            <v>0</v>
          </cell>
          <cell r="F41">
            <v>60000</v>
          </cell>
        </row>
        <row r="42">
          <cell r="D42">
            <v>0</v>
          </cell>
          <cell r="E42">
            <v>0</v>
          </cell>
          <cell r="F42">
            <v>0</v>
          </cell>
        </row>
        <row r="43">
          <cell r="D43" t="str">
            <v>TABLE EDGE MI3 156</v>
          </cell>
          <cell r="E43">
            <v>0</v>
          </cell>
          <cell r="F43">
            <v>205</v>
          </cell>
        </row>
        <row r="44">
          <cell r="D44">
            <v>0</v>
          </cell>
          <cell r="E44">
            <v>0</v>
          </cell>
          <cell r="F44">
            <v>0</v>
          </cell>
        </row>
        <row r="45">
          <cell r="D45" t="str">
            <v>PUROTEKUTA 2A4P1-018G</v>
          </cell>
          <cell r="E45">
            <v>0</v>
          </cell>
          <cell r="F45">
            <v>8000</v>
          </cell>
        </row>
        <row r="46">
          <cell r="D46">
            <v>0</v>
          </cell>
          <cell r="E46">
            <v>0</v>
          </cell>
          <cell r="F46">
            <v>0</v>
          </cell>
        </row>
        <row r="47">
          <cell r="D47" t="str">
            <v>PUROTEKUTA 2A4P1-022G</v>
          </cell>
          <cell r="E47">
            <v>0</v>
          </cell>
          <cell r="F47">
            <v>13500</v>
          </cell>
        </row>
        <row r="48">
          <cell r="D48">
            <v>0</v>
          </cell>
          <cell r="E48">
            <v>0</v>
          </cell>
          <cell r="F48">
            <v>0</v>
          </cell>
        </row>
        <row r="49">
          <cell r="D49" t="str">
            <v>PUROTEKUTA 55788-60080</v>
          </cell>
          <cell r="E49">
            <v>0</v>
          </cell>
          <cell r="F49">
            <v>10500</v>
          </cell>
        </row>
        <row r="50">
          <cell r="D50">
            <v>0</v>
          </cell>
          <cell r="E50">
            <v>0</v>
          </cell>
          <cell r="F50">
            <v>0</v>
          </cell>
        </row>
        <row r="51">
          <cell r="D51" t="str">
            <v>PUROTEKUTA   1383L OK100</v>
          </cell>
          <cell r="E51">
            <v>0</v>
          </cell>
          <cell r="F51">
            <v>1000</v>
          </cell>
        </row>
        <row r="52">
          <cell r="D52">
            <v>0</v>
          </cell>
          <cell r="E52">
            <v>0</v>
          </cell>
          <cell r="F52">
            <v>0</v>
          </cell>
        </row>
        <row r="53">
          <cell r="D53" t="str">
            <v>PUROTEKUTA 1350L</v>
          </cell>
          <cell r="E53">
            <v>0</v>
          </cell>
          <cell r="F53">
            <v>5500</v>
          </cell>
        </row>
        <row r="54">
          <cell r="D54">
            <v>0</v>
          </cell>
          <cell r="E54">
            <v>0</v>
          </cell>
          <cell r="F54">
            <v>0</v>
          </cell>
        </row>
        <row r="55">
          <cell r="D55" t="str">
            <v>PUROTEKUTA 55788-TOA020</v>
          </cell>
          <cell r="E55">
            <v>0</v>
          </cell>
          <cell r="F55">
            <v>11000</v>
          </cell>
        </row>
        <row r="56">
          <cell r="D56">
            <v>0</v>
          </cell>
          <cell r="E56">
            <v>0</v>
          </cell>
          <cell r="F56">
            <v>0</v>
          </cell>
        </row>
        <row r="57">
          <cell r="D57" t="str">
            <v>COVER SIDE TRIM</v>
          </cell>
          <cell r="E57">
            <v>0</v>
          </cell>
          <cell r="F57">
            <v>10000</v>
          </cell>
        </row>
        <row r="58">
          <cell r="D58">
            <v>0</v>
          </cell>
          <cell r="E58">
            <v>0</v>
          </cell>
          <cell r="F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</row>
      </sheetData>
      <sheetData sheetId="1">
        <row r="5">
          <cell r="B5" t="str">
            <v>MASUGOMU 4140.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紙"/>
      <sheetName val="データ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PACKING LIST"/>
      <sheetName val="IV tong"/>
      <sheetName val="HS code"/>
      <sheetName val="PL tong"/>
      <sheetName val="Yeu cau thanh toan"/>
      <sheetName val="データ"/>
      <sheetName val="dia chỉ"/>
      <sheetName val="Sheet2"/>
      <sheetName val="Sheet1"/>
    </sheetNames>
    <sheetDataSet>
      <sheetData sheetId="0"/>
      <sheetData sheetId="1">
        <row r="35">
          <cell r="B35" t="str">
            <v>Mask C01037 White</v>
          </cell>
          <cell r="C35" t="str">
            <v>SEQ 4-93909</v>
          </cell>
          <cell r="D35" t="str">
            <v>bag</v>
          </cell>
          <cell r="E35">
            <v>3920</v>
          </cell>
        </row>
        <row r="36">
          <cell r="B36" t="str">
            <v>Mask C01037 White</v>
          </cell>
          <cell r="C36" t="str">
            <v>SEQ 4-117750</v>
          </cell>
          <cell r="D36" t="str">
            <v>bag</v>
          </cell>
          <cell r="E36">
            <v>2520</v>
          </cell>
        </row>
        <row r="37">
          <cell r="B37" t="str">
            <v>Mask C01037 Light gray</v>
          </cell>
          <cell r="C37" t="str">
            <v>SEQ 4-93911</v>
          </cell>
          <cell r="D37" t="str">
            <v>bag</v>
          </cell>
          <cell r="E37">
            <v>4000</v>
          </cell>
        </row>
        <row r="38">
          <cell r="B38" t="str">
            <v>Mask C01037 Beige</v>
          </cell>
          <cell r="C38" t="str">
            <v>SEQ 4-93916</v>
          </cell>
          <cell r="D38" t="str">
            <v>bag</v>
          </cell>
          <cell r="E38">
            <v>5000</v>
          </cell>
        </row>
        <row r="39">
          <cell r="B39" t="str">
            <v>Mask C01037 Pink</v>
          </cell>
          <cell r="C39" t="str">
            <v>SEQ 4-93918</v>
          </cell>
          <cell r="D39" t="str">
            <v>bag</v>
          </cell>
          <cell r="E39">
            <v>5000</v>
          </cell>
        </row>
        <row r="40">
          <cell r="B40" t="str">
            <v>Mask C01037 Lilac</v>
          </cell>
          <cell r="C40" t="str">
            <v>SEQ 4-93920</v>
          </cell>
          <cell r="D40" t="str">
            <v>bag</v>
          </cell>
          <cell r="E40">
            <v>2000</v>
          </cell>
        </row>
        <row r="41">
          <cell r="B41" t="str">
            <v>Mask C01072 Stylist</v>
          </cell>
          <cell r="C41" t="str">
            <v>SEQ 4-93927</v>
          </cell>
          <cell r="D41" t="str">
            <v>bag</v>
          </cell>
          <cell r="E41">
            <v>4000</v>
          </cell>
        </row>
        <row r="42">
          <cell r="B42" t="str">
            <v>Mask C01074 Sweet</v>
          </cell>
          <cell r="C42" t="str">
            <v>SEQ 4-9329</v>
          </cell>
          <cell r="D42" t="str">
            <v>bag</v>
          </cell>
          <cell r="E42">
            <v>3320</v>
          </cell>
        </row>
        <row r="43">
          <cell r="B43" t="str">
            <v>Mask C01074 Sweet</v>
          </cell>
          <cell r="C43" t="str">
            <v>SEQ 4-117756</v>
          </cell>
          <cell r="D43" t="str">
            <v>bag</v>
          </cell>
          <cell r="E43">
            <v>4680</v>
          </cell>
        </row>
        <row r="44">
          <cell r="B44"/>
          <cell r="C44"/>
          <cell r="D44"/>
          <cell r="E44">
            <v>34440</v>
          </cell>
        </row>
        <row r="45">
          <cell r="B45"/>
          <cell r="C45"/>
          <cell r="D45"/>
          <cell r="E45"/>
        </row>
        <row r="46">
          <cell r="B46"/>
          <cell r="C46"/>
          <cell r="D46"/>
          <cell r="E46"/>
        </row>
        <row r="47">
          <cell r="B47"/>
          <cell r="C47"/>
          <cell r="D47"/>
          <cell r="E47"/>
        </row>
        <row r="48">
          <cell r="B48"/>
          <cell r="C48"/>
          <cell r="D48">
            <v>34440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view="pageBreakPreview" zoomScaleNormal="130" zoomScaleSheetLayoutView="100" workbookViewId="0">
      <selection activeCell="I43" sqref="I43:J43"/>
    </sheetView>
  </sheetViews>
  <sheetFormatPr defaultRowHeight="13.8"/>
  <cols>
    <col min="1" max="1" width="9.33203125" customWidth="1"/>
    <col min="3" max="3" width="32.77734375" customWidth="1"/>
    <col min="4" max="4" width="12.44140625" customWidth="1"/>
    <col min="5" max="5" width="7.109375" customWidth="1"/>
    <col min="6" max="6" width="8.21875" customWidth="1"/>
    <col min="7" max="7" width="5.88671875" customWidth="1"/>
    <col min="8" max="8" width="5.33203125" customWidth="1"/>
    <col min="9" max="9" width="5.77734375" customWidth="1"/>
    <col min="10" max="10" width="21.21875" customWidth="1"/>
    <col min="11" max="11" width="2.44140625" hidden="1" customWidth="1"/>
  </cols>
  <sheetData>
    <row r="1" spans="1:11" ht="8.3000000000000007" customHeight="1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</row>
    <row r="2" spans="1:11" ht="7.55" customHeight="1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</row>
    <row r="3" spans="1:11" ht="13.5" customHeight="1">
      <c r="A3" s="253"/>
      <c r="B3" s="253"/>
      <c r="C3" s="253"/>
      <c r="D3" s="253"/>
      <c r="E3" s="253"/>
      <c r="F3" s="253"/>
      <c r="G3" s="253"/>
      <c r="H3" s="253"/>
      <c r="I3" s="253"/>
      <c r="J3" s="253"/>
      <c r="K3" s="253"/>
    </row>
    <row r="4" spans="1:11" ht="4.55" customHeight="1">
      <c r="A4" s="253"/>
      <c r="B4" s="253"/>
      <c r="C4" s="253"/>
      <c r="D4" s="253"/>
      <c r="E4" s="253"/>
      <c r="F4" s="253"/>
      <c r="G4" s="253"/>
      <c r="H4" s="253"/>
      <c r="I4" s="253"/>
      <c r="J4" s="253"/>
      <c r="K4" s="253"/>
    </row>
    <row r="5" spans="1:11">
      <c r="G5" s="294" t="s">
        <v>321</v>
      </c>
      <c r="H5" s="295"/>
      <c r="I5" s="295"/>
      <c r="J5" s="295"/>
      <c r="K5" s="295"/>
    </row>
    <row r="6" spans="1:11" ht="9.1" customHeight="1"/>
    <row r="7" spans="1:11" ht="10.5" customHeight="1" thickBot="1"/>
    <row r="8" spans="1:11" ht="14.4">
      <c r="A8" s="23" t="s">
        <v>1</v>
      </c>
      <c r="B8" s="24"/>
      <c r="C8" s="24"/>
      <c r="D8" s="24"/>
      <c r="E8" s="11"/>
      <c r="F8" s="12"/>
      <c r="G8" s="259" t="s">
        <v>322</v>
      </c>
      <c r="H8" s="260"/>
      <c r="I8" s="260"/>
      <c r="J8" s="261"/>
    </row>
    <row r="9" spans="1:11" ht="5.35" customHeight="1">
      <c r="A9" s="13"/>
      <c r="F9" s="6"/>
      <c r="G9" s="262"/>
      <c r="H9" s="263"/>
      <c r="I9" s="263"/>
      <c r="J9" s="264"/>
    </row>
    <row r="10" spans="1:11" ht="13.5" customHeight="1">
      <c r="A10" s="87" t="s">
        <v>2</v>
      </c>
      <c r="B10" s="2"/>
      <c r="C10" s="2"/>
      <c r="D10" s="2"/>
      <c r="E10" s="2"/>
      <c r="F10" s="10"/>
      <c r="G10" s="262"/>
      <c r="H10" s="263"/>
      <c r="I10" s="263"/>
      <c r="J10" s="264"/>
    </row>
    <row r="11" spans="1:11" ht="13.5" customHeight="1">
      <c r="A11" s="85" t="s">
        <v>234</v>
      </c>
      <c r="B11" s="1"/>
      <c r="C11" s="1"/>
      <c r="D11" s="1"/>
      <c r="E11" s="1"/>
      <c r="F11" s="86"/>
      <c r="G11" s="265" t="s">
        <v>4</v>
      </c>
      <c r="H11" s="266"/>
      <c r="I11" s="269" t="s">
        <v>5</v>
      </c>
      <c r="J11" s="256"/>
    </row>
    <row r="12" spans="1:11" ht="14.4">
      <c r="A12" s="85" t="s">
        <v>312</v>
      </c>
      <c r="B12" s="1"/>
      <c r="C12" s="1"/>
      <c r="D12" s="1"/>
      <c r="E12" s="1"/>
      <c r="F12" s="86"/>
      <c r="G12" s="267"/>
      <c r="H12" s="268"/>
      <c r="I12" s="270"/>
      <c r="J12" s="271"/>
    </row>
    <row r="13" spans="1:11" ht="14.4">
      <c r="A13" s="85" t="s">
        <v>7</v>
      </c>
      <c r="B13" s="1"/>
      <c r="C13" s="1"/>
      <c r="D13" s="1"/>
      <c r="E13" s="276"/>
      <c r="F13" s="277"/>
      <c r="G13" s="272" t="s">
        <v>8</v>
      </c>
      <c r="H13" s="273"/>
      <c r="I13" s="274" t="s">
        <v>9</v>
      </c>
      <c r="J13" s="275"/>
    </row>
    <row r="14" spans="1:11" ht="14.4">
      <c r="A14" s="85" t="s">
        <v>10</v>
      </c>
      <c r="B14" s="1"/>
      <c r="E14" s="278"/>
      <c r="F14" s="279"/>
      <c r="G14" s="254" t="s">
        <v>11</v>
      </c>
      <c r="H14" s="255"/>
      <c r="I14" s="255"/>
      <c r="J14" s="256"/>
    </row>
    <row r="15" spans="1:11" ht="13.5" customHeight="1">
      <c r="A15" s="15"/>
      <c r="B15" s="7"/>
      <c r="C15" s="7"/>
      <c r="D15" s="7"/>
      <c r="E15" s="88"/>
      <c r="F15" s="8"/>
      <c r="G15" s="280" t="s">
        <v>12</v>
      </c>
      <c r="H15" s="281"/>
      <c r="I15" s="281"/>
      <c r="J15" s="282"/>
    </row>
    <row r="16" spans="1:11" ht="14.4">
      <c r="A16" s="28" t="s">
        <v>13</v>
      </c>
      <c r="B16" s="29"/>
      <c r="C16" s="29"/>
      <c r="D16" s="29"/>
      <c r="E16" s="3"/>
      <c r="F16" s="4"/>
      <c r="G16" s="258"/>
      <c r="H16" s="249"/>
      <c r="I16" s="249"/>
      <c r="J16" s="283"/>
    </row>
    <row r="17" spans="1:10" ht="13.5" hidden="1" customHeight="1">
      <c r="A17" s="16"/>
      <c r="B17" s="157"/>
      <c r="F17" s="6"/>
      <c r="G17" s="258"/>
      <c r="H17" s="249"/>
      <c r="I17" s="249"/>
      <c r="J17" s="283"/>
    </row>
    <row r="18" spans="1:10" ht="5.95" customHeight="1">
      <c r="A18" s="16"/>
      <c r="B18" s="157"/>
      <c r="F18" s="6"/>
      <c r="G18" s="258"/>
      <c r="H18" s="249"/>
      <c r="I18" s="249"/>
      <c r="J18" s="283"/>
    </row>
    <row r="19" spans="1:10" ht="17.55">
      <c r="A19" s="87" t="s">
        <v>14</v>
      </c>
      <c r="B19" s="1"/>
      <c r="C19" s="1"/>
      <c r="D19" s="1"/>
      <c r="F19" s="6"/>
      <c r="G19" s="284"/>
      <c r="H19" s="285"/>
      <c r="I19" s="285"/>
      <c r="J19" s="286"/>
    </row>
    <row r="20" spans="1:10" ht="14.4">
      <c r="A20" s="85" t="s">
        <v>15</v>
      </c>
      <c r="B20" s="1"/>
      <c r="C20" s="1"/>
      <c r="D20" s="1"/>
      <c r="F20" s="6"/>
      <c r="G20" s="5" t="s">
        <v>16</v>
      </c>
      <c r="I20" s="38"/>
      <c r="J20" s="14"/>
    </row>
    <row r="21" spans="1:10" ht="14.4">
      <c r="A21" s="85" t="s">
        <v>17</v>
      </c>
      <c r="B21" s="1"/>
      <c r="C21" s="1"/>
      <c r="D21" s="1"/>
      <c r="F21" s="6"/>
      <c r="G21" s="5"/>
      <c r="J21" s="14"/>
    </row>
    <row r="22" spans="1:10" ht="15.05" customHeight="1">
      <c r="A22" s="229" t="s">
        <v>18</v>
      </c>
      <c r="B22" s="230"/>
      <c r="C22" s="230"/>
      <c r="D22" s="171"/>
      <c r="E22" s="227"/>
      <c r="F22" s="228"/>
      <c r="G22" s="94" t="s">
        <v>19</v>
      </c>
      <c r="H22" t="s">
        <v>20</v>
      </c>
      <c r="J22" s="14"/>
    </row>
    <row r="23" spans="1:10" ht="15.05" customHeight="1">
      <c r="A23" s="229" t="s">
        <v>21</v>
      </c>
      <c r="B23" s="230"/>
      <c r="C23" s="230"/>
      <c r="D23" s="171"/>
      <c r="E23" s="227"/>
      <c r="F23" s="228"/>
      <c r="G23" s="93"/>
      <c r="H23" t="s">
        <v>22</v>
      </c>
      <c r="I23" s="6"/>
      <c r="J23" s="14"/>
    </row>
    <row r="24" spans="1:10" ht="4.55" customHeight="1">
      <c r="A24" s="35"/>
      <c r="B24" s="36"/>
      <c r="C24" s="236"/>
      <c r="D24" s="236"/>
      <c r="E24" s="236"/>
      <c r="F24" s="8"/>
      <c r="J24" s="14"/>
    </row>
    <row r="25" spans="1:10" ht="17.55">
      <c r="A25" s="239" t="s">
        <v>23</v>
      </c>
      <c r="B25" s="240"/>
      <c r="C25" s="240"/>
      <c r="D25" s="240"/>
      <c r="E25" s="240"/>
      <c r="F25" s="237" t="s">
        <v>98</v>
      </c>
      <c r="G25" s="93"/>
      <c r="H25" t="s">
        <v>24</v>
      </c>
      <c r="J25" s="14"/>
    </row>
    <row r="26" spans="1:10" ht="11.3" customHeight="1">
      <c r="A26" s="241"/>
      <c r="B26" s="242"/>
      <c r="C26" s="242"/>
      <c r="D26" s="242"/>
      <c r="E26" s="242"/>
      <c r="F26" s="237"/>
      <c r="G26" s="93"/>
      <c r="H26" s="177" t="s">
        <v>229</v>
      </c>
      <c r="J26" s="14"/>
    </row>
    <row r="27" spans="1:10" ht="13.5" customHeight="1">
      <c r="A27" s="243"/>
      <c r="B27" s="244"/>
      <c r="C27" s="244"/>
      <c r="D27" s="244"/>
      <c r="E27" s="244"/>
      <c r="F27" s="237"/>
      <c r="G27" s="93"/>
      <c r="H27" t="s">
        <v>26</v>
      </c>
      <c r="J27" s="14"/>
    </row>
    <row r="28" spans="1:10" ht="5.95" customHeight="1" thickBot="1">
      <c r="A28" s="245"/>
      <c r="B28" s="246"/>
      <c r="C28" s="246"/>
      <c r="D28" s="246"/>
      <c r="E28" s="246"/>
      <c r="F28" s="238"/>
      <c r="G28" s="17"/>
      <c r="H28" s="17"/>
      <c r="I28" s="17"/>
      <c r="J28" s="18"/>
    </row>
    <row r="29" spans="1:10" ht="14.4" thickBot="1">
      <c r="A29" s="13"/>
      <c r="J29" s="14"/>
    </row>
    <row r="30" spans="1:10" ht="13.5" customHeight="1">
      <c r="A30" s="287" t="s">
        <v>27</v>
      </c>
      <c r="B30" s="247" t="s">
        <v>28</v>
      </c>
      <c r="C30" s="248"/>
      <c r="D30" s="251" t="s">
        <v>228</v>
      </c>
      <c r="E30" s="296" t="s">
        <v>29</v>
      </c>
      <c r="F30" s="290" t="s">
        <v>30</v>
      </c>
      <c r="G30" s="257" t="s">
        <v>31</v>
      </c>
      <c r="H30" s="248"/>
      <c r="I30" s="290" t="s">
        <v>32</v>
      </c>
      <c r="J30" s="291"/>
    </row>
    <row r="31" spans="1:10">
      <c r="A31" s="288"/>
      <c r="B31" s="249"/>
      <c r="C31" s="250"/>
      <c r="D31" s="252"/>
      <c r="E31" s="232"/>
      <c r="F31" s="292"/>
      <c r="G31" s="258"/>
      <c r="H31" s="250"/>
      <c r="I31" s="292"/>
      <c r="J31" s="293"/>
    </row>
    <row r="32" spans="1:10" ht="27.7" customHeight="1">
      <c r="A32" s="289"/>
      <c r="B32" s="249"/>
      <c r="C32" s="250"/>
      <c r="D32" s="252"/>
      <c r="E32" s="232"/>
      <c r="F32" s="292"/>
      <c r="G32" s="258"/>
      <c r="H32" s="250"/>
      <c r="I32" s="292"/>
      <c r="J32" s="293"/>
    </row>
    <row r="33" spans="1:10" ht="19.600000000000001" customHeight="1">
      <c r="A33" s="209" t="s">
        <v>323</v>
      </c>
      <c r="B33" s="231" t="s">
        <v>273</v>
      </c>
      <c r="C33" s="232"/>
      <c r="D33" s="182"/>
      <c r="E33" s="159" t="str">
        <f>VLOOKUP(B33,データ!$B$3:$L$85,11,FALSE)</f>
        <v>m</v>
      </c>
      <c r="F33" s="215">
        <v>4000</v>
      </c>
      <c r="G33" s="233">
        <f>VLOOKUP(B33,データ!$B$3:$C$85,2,FALSE)</f>
        <v>0.61</v>
      </c>
      <c r="H33" s="233"/>
      <c r="I33" s="234">
        <f>G33*F33</f>
        <v>2440</v>
      </c>
      <c r="J33" s="235"/>
    </row>
    <row r="34" spans="1:10" ht="19.600000000000001" customHeight="1">
      <c r="A34" s="208" t="s">
        <v>324</v>
      </c>
      <c r="B34" s="231" t="s">
        <v>218</v>
      </c>
      <c r="C34" s="232"/>
      <c r="D34" s="182"/>
      <c r="E34" s="159" t="str">
        <f>VLOOKUP(B34,データ!$B$3:$L$85,11,FALSE)</f>
        <v>pcs</v>
      </c>
      <c r="F34" s="215">
        <v>11000</v>
      </c>
      <c r="G34" s="233">
        <f>VLOOKUP(B34,データ!$B$3:$C$85,2,FALSE)</f>
        <v>0.223</v>
      </c>
      <c r="H34" s="233"/>
      <c r="I34" s="234">
        <f>G34*F34</f>
        <v>2453</v>
      </c>
      <c r="J34" s="235"/>
    </row>
    <row r="35" spans="1:10" ht="19.600000000000001" customHeight="1">
      <c r="A35" s="302" t="s">
        <v>325</v>
      </c>
      <c r="B35" s="231" t="s">
        <v>296</v>
      </c>
      <c r="C35" s="232"/>
      <c r="D35" s="182"/>
      <c r="E35" s="159" t="str">
        <f>VLOOKUP(B35,データ!$B$3:$L$85,11,FALSE)</f>
        <v>pcs</v>
      </c>
      <c r="F35" s="211">
        <v>6000</v>
      </c>
      <c r="G35" s="233">
        <f>VLOOKUP(B35,データ!$B$3:$C$85,2,FALSE)</f>
        <v>0.21299999999999999</v>
      </c>
      <c r="H35" s="233"/>
      <c r="I35" s="234">
        <f>G35*F35</f>
        <v>1278</v>
      </c>
      <c r="J35" s="235"/>
    </row>
    <row r="36" spans="1:10" ht="19.600000000000001" customHeight="1">
      <c r="A36" s="304"/>
      <c r="B36" s="231" t="s">
        <v>297</v>
      </c>
      <c r="C36" s="232"/>
      <c r="D36" s="182"/>
      <c r="E36" s="159" t="str">
        <f>VLOOKUP(B36,データ!$B$3:$L$85,11,FALSE)</f>
        <v>pcs</v>
      </c>
      <c r="F36" s="211">
        <v>5000</v>
      </c>
      <c r="G36" s="233">
        <f>VLOOKUP(B36,データ!$B$3:$C$85,2,FALSE)</f>
        <v>0.223</v>
      </c>
      <c r="H36" s="233"/>
      <c r="I36" s="234">
        <f>G36*F36</f>
        <v>1115</v>
      </c>
      <c r="J36" s="235"/>
    </row>
    <row r="37" spans="1:10" ht="19.600000000000001" customHeight="1">
      <c r="A37" s="302" t="s">
        <v>326</v>
      </c>
      <c r="B37" s="231" t="s">
        <v>249</v>
      </c>
      <c r="C37" s="232"/>
      <c r="D37" s="210"/>
      <c r="E37" s="159" t="str">
        <f>VLOOKUP(B37,データ!$B$3:$L$85,11,FALSE)</f>
        <v>pcs</v>
      </c>
      <c r="F37" s="212">
        <v>11000</v>
      </c>
      <c r="G37" s="233">
        <f>VLOOKUP(B37,データ!$B$3:$C$85,2,FALSE)</f>
        <v>0.23499999999999999</v>
      </c>
      <c r="H37" s="233"/>
      <c r="I37" s="234">
        <f t="shared" ref="I37:I39" si="0">G37*F37</f>
        <v>2585</v>
      </c>
      <c r="J37" s="235"/>
    </row>
    <row r="38" spans="1:10" ht="19.600000000000001" customHeight="1">
      <c r="A38" s="303"/>
      <c r="B38" s="231" t="s">
        <v>186</v>
      </c>
      <c r="C38" s="232"/>
      <c r="D38" s="182"/>
      <c r="E38" s="159" t="str">
        <f>VLOOKUP(B38,データ!$B$3:$L$85,11,FALSE)</f>
        <v>pcs</v>
      </c>
      <c r="F38" s="211">
        <v>5500</v>
      </c>
      <c r="G38" s="233">
        <f>VLOOKUP(B38,データ!$B$3:$C$85,2,FALSE)</f>
        <v>0.224</v>
      </c>
      <c r="H38" s="233"/>
      <c r="I38" s="234">
        <f t="shared" si="0"/>
        <v>1232</v>
      </c>
      <c r="J38" s="235"/>
    </row>
    <row r="39" spans="1:10" ht="19.600000000000001" customHeight="1">
      <c r="A39" s="302" t="s">
        <v>327</v>
      </c>
      <c r="B39" s="231" t="s">
        <v>293</v>
      </c>
      <c r="C39" s="232"/>
      <c r="D39" s="182"/>
      <c r="E39" s="159" t="str">
        <f>VLOOKUP(B39,データ!$B$3:$L$85,11,FALSE)</f>
        <v>pcs</v>
      </c>
      <c r="F39" s="211">
        <v>9000</v>
      </c>
      <c r="G39" s="233">
        <f>VLOOKUP(B39,データ!$B$3:$C$85,2,FALSE)</f>
        <v>0.251</v>
      </c>
      <c r="H39" s="233"/>
      <c r="I39" s="234">
        <f t="shared" si="0"/>
        <v>2259</v>
      </c>
      <c r="J39" s="235"/>
    </row>
    <row r="40" spans="1:10" ht="19.600000000000001" customHeight="1">
      <c r="A40" s="303"/>
      <c r="B40" s="231" t="s">
        <v>186</v>
      </c>
      <c r="C40" s="232"/>
      <c r="D40" s="182"/>
      <c r="E40" s="159" t="str">
        <f>VLOOKUP(B40,データ!$B$3:$L$85,11,FALSE)</f>
        <v>pcs</v>
      </c>
      <c r="F40" s="211">
        <v>5500</v>
      </c>
      <c r="G40" s="233">
        <f>VLOOKUP(B40,データ!$B$3:$C$85,2,FALSE)</f>
        <v>0.224</v>
      </c>
      <c r="H40" s="233"/>
      <c r="I40" s="234">
        <f t="shared" ref="I40" si="1">G40*F40</f>
        <v>1232</v>
      </c>
      <c r="J40" s="235"/>
    </row>
    <row r="41" spans="1:10" ht="19.600000000000001" customHeight="1">
      <c r="A41" s="209" t="s">
        <v>328</v>
      </c>
      <c r="B41" s="231" t="s">
        <v>186</v>
      </c>
      <c r="C41" s="232"/>
      <c r="D41" s="210"/>
      <c r="E41" s="159" t="str">
        <f>VLOOKUP(B41,データ!$B$3:$L$85,11,FALSE)</f>
        <v>pcs</v>
      </c>
      <c r="F41" s="211">
        <v>13500</v>
      </c>
      <c r="G41" s="233">
        <f>VLOOKUP(B41,データ!$B$3:$C$85,2,FALSE)</f>
        <v>0.224</v>
      </c>
      <c r="H41" s="233"/>
      <c r="I41" s="234">
        <f t="shared" ref="I41" si="2">G41*F41</f>
        <v>3024</v>
      </c>
      <c r="J41" s="235"/>
    </row>
    <row r="42" spans="1:10" ht="19.600000000000001" customHeight="1">
      <c r="A42" s="302" t="s">
        <v>329</v>
      </c>
      <c r="B42" s="231" t="s">
        <v>217</v>
      </c>
      <c r="C42" s="232"/>
      <c r="D42" s="196"/>
      <c r="E42" s="159" t="str">
        <f>VLOOKUP(B42,データ!$B$3:$L$85,11,FALSE)</f>
        <v>pcs</v>
      </c>
      <c r="F42" s="211">
        <v>13000</v>
      </c>
      <c r="G42" s="233">
        <f>VLOOKUP(B42,データ!$B$3:$C$85,2,FALSE)</f>
        <v>0.223</v>
      </c>
      <c r="H42" s="233"/>
      <c r="I42" s="234">
        <f>G42*F42</f>
        <v>2899</v>
      </c>
      <c r="J42" s="235"/>
    </row>
    <row r="43" spans="1:10" ht="19.600000000000001" customHeight="1">
      <c r="A43" s="304"/>
      <c r="B43" s="231" t="s">
        <v>310</v>
      </c>
      <c r="C43" s="232"/>
      <c r="D43" s="196"/>
      <c r="E43" s="159" t="str">
        <f>VLOOKUP(B43,データ!$B$3:$DH$185,11,FALSE)</f>
        <v>pcs</v>
      </c>
      <c r="F43" s="212">
        <v>7</v>
      </c>
      <c r="G43" s="233">
        <f>VLOOKUP(B43,データ!$B$3:$C$185,2,FALSE)</f>
        <v>2.91</v>
      </c>
      <c r="H43" s="233"/>
      <c r="I43" s="234">
        <f>G43*F43</f>
        <v>20.37</v>
      </c>
      <c r="J43" s="235"/>
    </row>
    <row r="44" spans="1:10" ht="19.600000000000001" customHeight="1">
      <c r="A44" s="208" t="s">
        <v>330</v>
      </c>
      <c r="B44" s="231" t="s">
        <v>320</v>
      </c>
      <c r="C44" s="232"/>
      <c r="D44" s="196"/>
      <c r="E44" s="159" t="str">
        <f>VLOOKUP(B44,データ!$B$3:$L$85,11,FALSE)</f>
        <v>bag</v>
      </c>
      <c r="F44" s="211">
        <v>12000</v>
      </c>
      <c r="G44" s="233">
        <f>VLOOKUP(B44,データ!$B$3:$C$85,2,FALSE)</f>
        <v>0.2</v>
      </c>
      <c r="H44" s="233"/>
      <c r="I44" s="234">
        <f t="shared" ref="I44" si="3">G44*F44</f>
        <v>2400</v>
      </c>
      <c r="J44" s="235"/>
    </row>
    <row r="45" spans="1:10" ht="19.600000000000001" customHeight="1">
      <c r="A45" s="220" t="s">
        <v>331</v>
      </c>
      <c r="B45" s="231" t="s">
        <v>309</v>
      </c>
      <c r="C45" s="232"/>
      <c r="D45" s="196"/>
      <c r="E45" s="159" t="str">
        <f>VLOOKUP(B45,データ!$B$3:$L$85,11,FALSE)</f>
        <v>pcs</v>
      </c>
      <c r="F45" s="215">
        <v>240</v>
      </c>
      <c r="G45" s="233">
        <f>VLOOKUP(B45,データ!$B$3:$C$85,2,FALSE)</f>
        <v>2.875</v>
      </c>
      <c r="H45" s="233"/>
      <c r="I45" s="234">
        <f t="shared" ref="I45" si="4">G45*F45</f>
        <v>690</v>
      </c>
      <c r="J45" s="235"/>
    </row>
    <row r="46" spans="1:10" ht="19.600000000000001" customHeight="1">
      <c r="A46" s="309" t="s">
        <v>34</v>
      </c>
      <c r="B46" s="310"/>
      <c r="C46" s="310"/>
      <c r="D46" s="310"/>
      <c r="E46" s="310"/>
      <c r="F46" s="313"/>
      <c r="G46" s="314"/>
      <c r="H46" s="315"/>
      <c r="I46" s="305">
        <f>SUM(I33:K45)</f>
        <v>23627.37</v>
      </c>
      <c r="J46" s="306"/>
    </row>
    <row r="47" spans="1:10" ht="24.75" customHeight="1" thickBot="1">
      <c r="A47" s="311"/>
      <c r="B47" s="312"/>
      <c r="C47" s="312"/>
      <c r="D47" s="312"/>
      <c r="E47" s="312"/>
      <c r="F47" s="316"/>
      <c r="G47" s="317"/>
      <c r="H47" s="318"/>
      <c r="I47" s="307"/>
      <c r="J47" s="308"/>
    </row>
    <row r="48" spans="1:10" ht="11.3" customHeight="1"/>
    <row r="49" spans="1:10" ht="20.05" customHeight="1">
      <c r="A49" s="300" t="s">
        <v>35</v>
      </c>
      <c r="B49" s="300"/>
      <c r="C49" s="300"/>
      <c r="D49" s="173"/>
      <c r="F49" s="181"/>
      <c r="G49" s="299" t="s">
        <v>36</v>
      </c>
      <c r="H49" s="299"/>
      <c r="I49" s="299"/>
      <c r="J49" s="76"/>
    </row>
    <row r="50" spans="1:10" ht="20.05" customHeight="1">
      <c r="A50" s="298" t="s">
        <v>224</v>
      </c>
      <c r="B50" s="298"/>
      <c r="C50" s="298"/>
      <c r="D50" s="174"/>
      <c r="E50" s="34"/>
      <c r="F50" s="34"/>
      <c r="G50" s="34"/>
      <c r="H50" s="34"/>
      <c r="I50" s="9"/>
    </row>
    <row r="51" spans="1:10" ht="20.05" customHeight="1">
      <c r="A51" s="297"/>
      <c r="B51" s="297"/>
      <c r="C51" s="297"/>
      <c r="D51" s="160"/>
      <c r="E51" s="34"/>
      <c r="F51" s="34"/>
      <c r="G51" s="34"/>
      <c r="H51" s="34"/>
    </row>
    <row r="52" spans="1:10" ht="20.05" customHeight="1">
      <c r="A52" s="301"/>
      <c r="B52" s="301"/>
      <c r="C52" s="301"/>
      <c r="D52" s="172"/>
      <c r="E52" s="34"/>
      <c r="F52" s="34"/>
      <c r="G52" s="34"/>
      <c r="H52" s="34"/>
    </row>
    <row r="53" spans="1:10" ht="20.05" customHeight="1">
      <c r="A53" s="297"/>
      <c r="B53" s="297"/>
      <c r="C53" s="297"/>
      <c r="D53" s="160"/>
      <c r="E53" s="34"/>
      <c r="F53" s="34"/>
      <c r="G53" s="34"/>
      <c r="H53" s="34"/>
    </row>
  </sheetData>
  <mergeCells count="78">
    <mergeCell ref="I35:J35"/>
    <mergeCell ref="B37:C37"/>
    <mergeCell ref="G37:H37"/>
    <mergeCell ref="I37:J37"/>
    <mergeCell ref="I38:J38"/>
    <mergeCell ref="I46:J47"/>
    <mergeCell ref="A46:E47"/>
    <mergeCell ref="F46:H47"/>
    <mergeCell ref="I39:J39"/>
    <mergeCell ref="G39:H39"/>
    <mergeCell ref="B39:C39"/>
    <mergeCell ref="I41:J41"/>
    <mergeCell ref="I43:J43"/>
    <mergeCell ref="I42:J42"/>
    <mergeCell ref="G43:H43"/>
    <mergeCell ref="B44:C44"/>
    <mergeCell ref="G44:H44"/>
    <mergeCell ref="B41:C41"/>
    <mergeCell ref="A37:A38"/>
    <mergeCell ref="G42:H42"/>
    <mergeCell ref="A39:A40"/>
    <mergeCell ref="A42:A43"/>
    <mergeCell ref="G41:H41"/>
    <mergeCell ref="G33:H33"/>
    <mergeCell ref="B33:C33"/>
    <mergeCell ref="B34:C34"/>
    <mergeCell ref="G34:H34"/>
    <mergeCell ref="A35:A36"/>
    <mergeCell ref="B35:C35"/>
    <mergeCell ref="G35:H35"/>
    <mergeCell ref="E30:E32"/>
    <mergeCell ref="A53:C53"/>
    <mergeCell ref="A50:C50"/>
    <mergeCell ref="G49:I49"/>
    <mergeCell ref="A49:C49"/>
    <mergeCell ref="A52:C52"/>
    <mergeCell ref="A51:C51"/>
    <mergeCell ref="I44:J44"/>
    <mergeCell ref="G45:H45"/>
    <mergeCell ref="I45:J45"/>
    <mergeCell ref="B45:C45"/>
    <mergeCell ref="B40:C40"/>
    <mergeCell ref="G40:H40"/>
    <mergeCell ref="I40:J40"/>
    <mergeCell ref="B42:C42"/>
    <mergeCell ref="B43:C43"/>
    <mergeCell ref="A1:K4"/>
    <mergeCell ref="G14:J14"/>
    <mergeCell ref="G30:H32"/>
    <mergeCell ref="G8:J10"/>
    <mergeCell ref="G11:H12"/>
    <mergeCell ref="I11:J12"/>
    <mergeCell ref="G13:H13"/>
    <mergeCell ref="I13:J13"/>
    <mergeCell ref="E13:F13"/>
    <mergeCell ref="E14:F14"/>
    <mergeCell ref="E23:F23"/>
    <mergeCell ref="G15:J19"/>
    <mergeCell ref="A22:C22"/>
    <mergeCell ref="A30:A32"/>
    <mergeCell ref="I30:J32"/>
    <mergeCell ref="G5:K5"/>
    <mergeCell ref="E22:F22"/>
    <mergeCell ref="A23:C23"/>
    <mergeCell ref="B38:C38"/>
    <mergeCell ref="G38:H38"/>
    <mergeCell ref="I34:J34"/>
    <mergeCell ref="C24:E24"/>
    <mergeCell ref="F25:F28"/>
    <mergeCell ref="A25:E25"/>
    <mergeCell ref="A26:E28"/>
    <mergeCell ref="B30:C32"/>
    <mergeCell ref="D30:D32"/>
    <mergeCell ref="B36:C36"/>
    <mergeCell ref="G36:H36"/>
    <mergeCell ref="I36:J36"/>
    <mergeCell ref="I33:J33"/>
    <mergeCell ref="F30:F32"/>
  </mergeCells>
  <phoneticPr fontId="4"/>
  <pageMargins left="0.22" right="0" top="0.16" bottom="0" header="0.16" footer="0"/>
  <pageSetup paperSize="9" scale="8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データ!$B$3:$B$85</xm:f>
          </x14:formula1>
          <xm:sqref>B33:B34 B36:B37 B35:C35 B44:C45 B38:C42</xm:sqref>
        </x14:dataValidation>
        <x14:dataValidation type="list" allowBlank="1" showInputMessage="1" showErrorMessage="1" xr:uid="{3F136317-5694-4F71-B628-7F21F3EC8465}">
          <x14:formula1>
            <xm:f>データ!$B$3:$B$112</xm:f>
          </x14:formula1>
          <xm:sqref>B43:C43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topLeftCell="A49" zoomScaleNormal="100" zoomScaleSheetLayoutView="115" workbookViewId="0">
      <selection activeCell="N33" sqref="N33"/>
    </sheetView>
  </sheetViews>
  <sheetFormatPr defaultColWidth="9" defaultRowHeight="14.4"/>
  <cols>
    <col min="1" max="1" width="10.109375" style="21" customWidth="1"/>
    <col min="2" max="2" width="9" style="21"/>
    <col min="3" max="3" width="33.6640625" style="21" customWidth="1"/>
    <col min="4" max="4" width="11.6640625" style="21" customWidth="1"/>
    <col min="5" max="5" width="10.33203125" style="21" customWidth="1"/>
    <col min="6" max="6" width="11.109375" style="21" customWidth="1"/>
    <col min="7" max="7" width="7.77734375" style="21" customWidth="1"/>
    <col min="8" max="8" width="5.77734375" style="21" customWidth="1"/>
    <col min="9" max="9" width="11.33203125" style="21" customWidth="1"/>
    <col min="10" max="10" width="10" style="21" customWidth="1"/>
    <col min="11" max="11" width="11.77734375" style="21" bestFit="1" customWidth="1"/>
    <col min="12" max="12" width="12.21875" style="21" bestFit="1" customWidth="1"/>
    <col min="13" max="13" width="11.88671875" style="21" bestFit="1" customWidth="1"/>
    <col min="14" max="14" width="9" style="21" bestFit="1" customWidth="1"/>
    <col min="15" max="15" width="3.77734375" style="21" bestFit="1" customWidth="1"/>
    <col min="16" max="16" width="5.44140625" style="21" bestFit="1" customWidth="1"/>
    <col min="17" max="17" width="9" style="21"/>
    <col min="18" max="18" width="10" style="21" bestFit="1" customWidth="1"/>
    <col min="19" max="16384" width="9" style="21"/>
  </cols>
  <sheetData>
    <row r="1" spans="1:11" ht="15.05" customHeight="1">
      <c r="A1" s="342" t="s">
        <v>37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</row>
    <row r="2" spans="1:11" ht="7.55" customHeight="1">
      <c r="A2" s="342"/>
      <c r="B2" s="342"/>
      <c r="C2" s="342"/>
      <c r="D2" s="342"/>
      <c r="E2" s="342"/>
      <c r="F2" s="342"/>
      <c r="G2" s="342"/>
      <c r="H2" s="342"/>
      <c r="I2" s="342"/>
      <c r="J2" s="342"/>
      <c r="K2" s="342"/>
    </row>
    <row r="3" spans="1:11" ht="9.6999999999999993" customHeigh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</row>
    <row r="4" spans="1:11" ht="12.7" hidden="1" customHeight="1">
      <c r="A4" s="342"/>
      <c r="B4" s="342"/>
      <c r="C4" s="342"/>
      <c r="D4" s="342"/>
      <c r="E4" s="342"/>
      <c r="F4" s="342"/>
      <c r="G4" s="342"/>
      <c r="H4" s="342"/>
      <c r="I4" s="342"/>
      <c r="J4" s="342"/>
      <c r="K4" s="342"/>
    </row>
    <row r="5" spans="1:11">
      <c r="H5" s="364" t="str">
        <f>INVOICE!G5</f>
        <v>インボイス作成日（Date): 5/12/2025</v>
      </c>
      <c r="I5" s="364"/>
      <c r="J5" s="364"/>
      <c r="K5" s="364"/>
    </row>
    <row r="7" spans="1:11" ht="9.6999999999999993" customHeight="1" thickBot="1"/>
    <row r="8" spans="1:11" ht="14.25" customHeight="1">
      <c r="A8" s="23" t="s">
        <v>1</v>
      </c>
      <c r="B8" s="24"/>
      <c r="C8" s="24"/>
      <c r="D8" s="24"/>
      <c r="E8" s="24"/>
      <c r="F8" s="24"/>
      <c r="G8" s="46"/>
      <c r="H8" s="259" t="str">
        <f>INVOICE!G8</f>
        <v>Invoice No
MASUDA VN-JP 019/25</v>
      </c>
      <c r="I8" s="260"/>
      <c r="J8" s="260"/>
      <c r="K8" s="261"/>
    </row>
    <row r="9" spans="1:11" ht="9.6999999999999993" customHeight="1">
      <c r="A9" s="25"/>
      <c r="G9" s="44"/>
      <c r="H9" s="262"/>
      <c r="I9" s="263"/>
      <c r="J9" s="263"/>
      <c r="K9" s="264"/>
    </row>
    <row r="10" spans="1:11" ht="12.7" customHeight="1">
      <c r="A10" s="87" t="s">
        <v>2</v>
      </c>
      <c r="B10" s="2"/>
      <c r="C10" s="2"/>
      <c r="D10" s="2"/>
      <c r="E10" s="2"/>
      <c r="F10" s="43"/>
      <c r="G10" s="44"/>
      <c r="H10" s="262"/>
      <c r="I10" s="263"/>
      <c r="J10" s="263"/>
      <c r="K10" s="264"/>
    </row>
    <row r="11" spans="1:11" ht="15.05" customHeight="1">
      <c r="A11" s="85" t="s">
        <v>3</v>
      </c>
      <c r="B11" s="1"/>
      <c r="C11" s="1"/>
      <c r="D11" s="1"/>
      <c r="E11" s="2"/>
      <c r="F11" s="19"/>
      <c r="G11" s="44"/>
      <c r="H11" s="379" t="s">
        <v>4</v>
      </c>
      <c r="I11" s="379"/>
      <c r="J11" s="377" t="s">
        <v>5</v>
      </c>
      <c r="K11" s="378"/>
    </row>
    <row r="12" spans="1:11">
      <c r="A12" s="85" t="s">
        <v>312</v>
      </c>
      <c r="B12" s="1"/>
      <c r="C12" s="1"/>
      <c r="D12" s="1"/>
      <c r="E12" s="2"/>
      <c r="F12" s="19"/>
      <c r="G12" s="44"/>
      <c r="H12" s="379"/>
      <c r="I12" s="379"/>
      <c r="J12" s="377"/>
      <c r="K12" s="378"/>
    </row>
    <row r="13" spans="1:11">
      <c r="A13" s="85" t="s">
        <v>7</v>
      </c>
      <c r="B13" s="1"/>
      <c r="C13" s="1"/>
      <c r="D13" s="1"/>
      <c r="E13" s="74"/>
      <c r="F13" s="162"/>
      <c r="G13" s="44"/>
      <c r="H13" s="380" t="s">
        <v>8</v>
      </c>
      <c r="I13" s="380"/>
      <c r="J13" s="380" t="s">
        <v>38</v>
      </c>
      <c r="K13" s="381"/>
    </row>
    <row r="14" spans="1:11">
      <c r="A14" s="85" t="s">
        <v>10</v>
      </c>
      <c r="B14" s="1"/>
      <c r="E14" s="42"/>
      <c r="F14" s="73"/>
      <c r="G14" s="44"/>
      <c r="H14" s="366" t="s">
        <v>11</v>
      </c>
      <c r="I14" s="366"/>
      <c r="J14" s="366"/>
      <c r="K14" s="367"/>
    </row>
    <row r="15" spans="1:11" ht="15.05" customHeight="1">
      <c r="A15" s="85"/>
      <c r="B15" s="1"/>
      <c r="E15" s="73"/>
      <c r="F15" s="73"/>
      <c r="G15" s="44"/>
      <c r="H15" s="344" t="s">
        <v>12</v>
      </c>
      <c r="I15" s="345"/>
      <c r="J15" s="345"/>
      <c r="K15" s="346"/>
    </row>
    <row r="16" spans="1:11" ht="17.25" customHeight="1">
      <c r="A16" s="26"/>
      <c r="B16" s="27"/>
      <c r="C16" s="27"/>
      <c r="D16" s="27"/>
      <c r="E16" s="27"/>
      <c r="F16" s="27"/>
      <c r="G16" s="45"/>
      <c r="H16" s="344"/>
      <c r="I16" s="345"/>
      <c r="J16" s="345"/>
      <c r="K16" s="346"/>
    </row>
    <row r="17" spans="1:18">
      <c r="A17" s="28" t="s">
        <v>13</v>
      </c>
      <c r="B17" s="29"/>
      <c r="C17" s="29"/>
      <c r="D17" s="29"/>
      <c r="E17" s="29"/>
      <c r="F17" s="29"/>
      <c r="G17" s="44"/>
      <c r="H17" s="347"/>
      <c r="I17" s="348"/>
      <c r="J17" s="348"/>
      <c r="K17" s="349"/>
    </row>
    <row r="18" spans="1:18" ht="15.05" hidden="1" customHeight="1">
      <c r="A18" s="30"/>
      <c r="G18" s="41"/>
      <c r="H18" s="27"/>
      <c r="I18" s="27"/>
      <c r="J18" s="40"/>
      <c r="K18" s="31"/>
    </row>
    <row r="19" spans="1:18" ht="5.95" customHeight="1">
      <c r="A19" s="30"/>
      <c r="G19" s="44"/>
      <c r="J19" s="29"/>
      <c r="K19" s="31"/>
    </row>
    <row r="20" spans="1:18" ht="17.55">
      <c r="A20" s="87" t="s">
        <v>39</v>
      </c>
      <c r="B20" s="1"/>
      <c r="C20" s="1"/>
      <c r="D20" s="1"/>
      <c r="G20" s="44"/>
      <c r="H20" s="21" t="s">
        <v>40</v>
      </c>
      <c r="K20" s="31"/>
    </row>
    <row r="21" spans="1:18">
      <c r="A21" s="85" t="s">
        <v>41</v>
      </c>
      <c r="B21" s="1"/>
      <c r="C21" s="1"/>
      <c r="D21" s="1"/>
      <c r="G21" s="44"/>
      <c r="K21" s="31"/>
    </row>
    <row r="22" spans="1:18">
      <c r="A22" s="85" t="s">
        <v>42</v>
      </c>
      <c r="B22" s="1"/>
      <c r="C22" s="1"/>
      <c r="D22" s="1"/>
      <c r="G22" s="44"/>
      <c r="H22" s="94" t="s">
        <v>19</v>
      </c>
      <c r="I22" t="s">
        <v>20</v>
      </c>
      <c r="K22" s="31"/>
    </row>
    <row r="23" spans="1:18">
      <c r="A23" s="229" t="s">
        <v>43</v>
      </c>
      <c r="B23" s="230"/>
      <c r="C23" s="230"/>
      <c r="D23" s="171"/>
      <c r="E23" s="74"/>
      <c r="F23" s="74"/>
      <c r="G23" s="44"/>
      <c r="H23" s="93"/>
      <c r="I23" t="s">
        <v>22</v>
      </c>
      <c r="K23" s="31"/>
    </row>
    <row r="24" spans="1:18">
      <c r="A24" s="352" t="s">
        <v>44</v>
      </c>
      <c r="B24" s="353"/>
      <c r="C24" s="353"/>
      <c r="D24" s="1"/>
      <c r="E24" s="74"/>
      <c r="F24" s="162"/>
      <c r="G24" s="44"/>
      <c r="H24"/>
      <c r="I24"/>
      <c r="K24" s="31"/>
    </row>
    <row r="25" spans="1:18" ht="12.7" customHeight="1">
      <c r="A25" s="35"/>
      <c r="B25" s="36"/>
      <c r="C25" s="236"/>
      <c r="D25" s="236"/>
      <c r="E25" s="236"/>
      <c r="F25" s="27"/>
      <c r="G25" s="45"/>
      <c r="H25" s="93"/>
      <c r="I25" t="s">
        <v>24</v>
      </c>
      <c r="K25" s="31"/>
    </row>
    <row r="26" spans="1:18" ht="17.55">
      <c r="A26" s="239" t="s">
        <v>23</v>
      </c>
      <c r="B26" s="240"/>
      <c r="C26" s="240"/>
      <c r="D26" s="240"/>
      <c r="E26" s="240"/>
      <c r="F26" s="365"/>
      <c r="G26" s="359" t="s">
        <v>98</v>
      </c>
      <c r="H26" s="93"/>
      <c r="I26" t="s">
        <v>25</v>
      </c>
      <c r="K26" s="31"/>
    </row>
    <row r="27" spans="1:18" ht="12.7" customHeight="1">
      <c r="A27" s="241"/>
      <c r="B27" s="242"/>
      <c r="C27" s="242"/>
      <c r="D27" s="242"/>
      <c r="E27" s="242"/>
      <c r="F27" s="356"/>
      <c r="G27" s="360"/>
      <c r="H27" s="93"/>
      <c r="I27" t="s">
        <v>26</v>
      </c>
      <c r="K27" s="31"/>
    </row>
    <row r="28" spans="1:18" ht="11.3" customHeight="1">
      <c r="A28" s="243"/>
      <c r="B28" s="244"/>
      <c r="C28" s="244"/>
      <c r="D28" s="244"/>
      <c r="E28" s="244"/>
      <c r="F28" s="357"/>
      <c r="G28" s="360"/>
      <c r="K28" s="31"/>
    </row>
    <row r="29" spans="1:18" ht="13.5" customHeight="1" thickBot="1">
      <c r="A29" s="245"/>
      <c r="B29" s="246"/>
      <c r="C29" s="246"/>
      <c r="D29" s="246"/>
      <c r="E29" s="246"/>
      <c r="F29" s="358"/>
      <c r="G29" s="361"/>
      <c r="H29" s="22"/>
      <c r="I29" s="22"/>
      <c r="J29" s="22"/>
      <c r="K29" s="32"/>
    </row>
    <row r="30" spans="1:18" ht="9.6999999999999993" customHeight="1" thickBot="1">
      <c r="A30" s="160"/>
      <c r="B30" s="160"/>
      <c r="C30" s="160"/>
      <c r="D30" s="160"/>
      <c r="E30" s="160"/>
      <c r="F30" s="161"/>
    </row>
    <row r="31" spans="1:18" ht="15.05" customHeight="1">
      <c r="A31" s="287" t="s">
        <v>27</v>
      </c>
      <c r="B31" s="257" t="s">
        <v>28</v>
      </c>
      <c r="C31" s="248"/>
      <c r="D31" s="251" t="s">
        <v>228</v>
      </c>
      <c r="E31" s="296" t="s">
        <v>29</v>
      </c>
      <c r="F31" s="290" t="s">
        <v>30</v>
      </c>
      <c r="G31" s="257" t="s">
        <v>45</v>
      </c>
      <c r="H31" s="248"/>
      <c r="I31" s="350" t="s">
        <v>46</v>
      </c>
      <c r="J31" s="251" t="s">
        <v>47</v>
      </c>
      <c r="K31" s="371" t="s">
        <v>48</v>
      </c>
    </row>
    <row r="32" spans="1:18" ht="11.3" customHeight="1">
      <c r="A32" s="354"/>
      <c r="B32" s="258"/>
      <c r="C32" s="250"/>
      <c r="D32" s="252"/>
      <c r="E32" s="232"/>
      <c r="F32" s="292"/>
      <c r="G32" s="258"/>
      <c r="H32" s="250"/>
      <c r="I32" s="351"/>
      <c r="J32" s="374"/>
      <c r="K32" s="372"/>
      <c r="L32" s="474"/>
      <c r="M32" s="474"/>
      <c r="N32" s="474"/>
      <c r="O32" s="474"/>
      <c r="P32" s="474"/>
      <c r="Q32" s="474"/>
      <c r="R32" s="67"/>
    </row>
    <row r="33" spans="1:18">
      <c r="A33" s="354"/>
      <c r="B33" s="258"/>
      <c r="C33" s="250"/>
      <c r="D33" s="252"/>
      <c r="E33" s="232"/>
      <c r="F33" s="292"/>
      <c r="G33" s="258"/>
      <c r="H33" s="250"/>
      <c r="I33" s="351"/>
      <c r="J33" s="374"/>
      <c r="K33" s="372"/>
      <c r="L33" s="474"/>
      <c r="M33" s="475"/>
      <c r="N33" s="476"/>
      <c r="O33" s="477"/>
      <c r="P33" s="478"/>
      <c r="Q33" s="478"/>
      <c r="R33" s="71"/>
    </row>
    <row r="34" spans="1:18" ht="10.5" customHeight="1">
      <c r="A34" s="355"/>
      <c r="B34" s="258"/>
      <c r="C34" s="250"/>
      <c r="D34" s="363"/>
      <c r="E34" s="343"/>
      <c r="F34" s="362"/>
      <c r="G34" s="258"/>
      <c r="H34" s="250"/>
      <c r="I34" s="351"/>
      <c r="J34" s="374"/>
      <c r="K34" s="373"/>
      <c r="L34" s="474"/>
      <c r="M34" s="479"/>
      <c r="N34" s="480"/>
      <c r="O34" s="481"/>
      <c r="P34" s="482"/>
      <c r="Q34" s="478"/>
      <c r="R34" s="71"/>
    </row>
    <row r="35" spans="1:18" ht="21" customHeight="1">
      <c r="A35" s="208" t="s">
        <v>323</v>
      </c>
      <c r="B35" s="369" t="str">
        <f>INVOICE!B33</f>
        <v>TABLE EDGE MG23</v>
      </c>
      <c r="C35" s="370"/>
      <c r="D35" s="182"/>
      <c r="E35" s="183" t="str">
        <f>INVOICE!E33</f>
        <v>m</v>
      </c>
      <c r="F35" s="188">
        <f>INVOICE!F33</f>
        <v>4000</v>
      </c>
      <c r="G35" s="375">
        <f>VLOOKUP(B35,データ!$B$3:$E$85,4,FALSE)</f>
        <v>50</v>
      </c>
      <c r="H35" s="376"/>
      <c r="I35" s="213">
        <f>ROUNDUP(F35/G35,0)</f>
        <v>80</v>
      </c>
      <c r="J35" s="224">
        <v>1</v>
      </c>
      <c r="K35" s="192">
        <f>ROUND(N35+P35+20,2)</f>
        <v>20</v>
      </c>
      <c r="L35" s="474"/>
      <c r="M35" s="479"/>
      <c r="N35" s="483"/>
      <c r="O35" s="482"/>
      <c r="P35" s="479"/>
      <c r="Q35" s="478"/>
      <c r="R35" s="71"/>
    </row>
    <row r="36" spans="1:18" ht="21" customHeight="1" thickBot="1">
      <c r="A36" s="208" t="s">
        <v>324</v>
      </c>
      <c r="B36" s="369" t="str">
        <f>INVOICE!B34</f>
        <v>PUROTEKUTA 55788-16110</v>
      </c>
      <c r="C36" s="370"/>
      <c r="D36" s="183"/>
      <c r="E36" s="183" t="str">
        <f>INVOICE!E34</f>
        <v>pcs</v>
      </c>
      <c r="F36" s="188">
        <f>INVOICE!F34</f>
        <v>11000</v>
      </c>
      <c r="G36" s="324">
        <f>VLOOKUP(B36,データ!$B$3:$E$85,4,FALSE)</f>
        <v>500</v>
      </c>
      <c r="H36" s="368"/>
      <c r="I36" s="213">
        <f t="shared" ref="I36:I45" si="0">ROUNDUP(F36/G36,0)</f>
        <v>22</v>
      </c>
      <c r="J36" s="226">
        <v>1</v>
      </c>
      <c r="K36" s="192">
        <f>ROUND(N36+P36,2)+10</f>
        <v>10</v>
      </c>
      <c r="L36" s="474"/>
      <c r="M36" s="479"/>
      <c r="N36" s="483"/>
      <c r="O36" s="482"/>
      <c r="P36" s="479"/>
      <c r="Q36" s="478"/>
      <c r="R36" s="71"/>
    </row>
    <row r="37" spans="1:18" ht="21" customHeight="1">
      <c r="A37" s="302" t="s">
        <v>325</v>
      </c>
      <c r="B37" s="369" t="str">
        <f>INVOICE!B35</f>
        <v>PUROTEKUTA 55788-52350</v>
      </c>
      <c r="C37" s="370"/>
      <c r="D37" s="183"/>
      <c r="E37" s="183" t="str">
        <f>INVOICE!E35</f>
        <v>pcs</v>
      </c>
      <c r="F37" s="188">
        <f>INVOICE!F35</f>
        <v>6000</v>
      </c>
      <c r="G37" s="324">
        <f>VLOOKUP(B37,データ!$B$3:$E$85,4,FALSE)</f>
        <v>500</v>
      </c>
      <c r="H37" s="368"/>
      <c r="I37" s="213">
        <f t="shared" si="0"/>
        <v>12</v>
      </c>
      <c r="J37" s="384">
        <v>1</v>
      </c>
      <c r="K37" s="192">
        <f>ROUND(N37+P37,2)+5</f>
        <v>5</v>
      </c>
      <c r="L37" s="474"/>
      <c r="M37" s="479"/>
      <c r="N37" s="483"/>
      <c r="O37" s="482"/>
      <c r="P37" s="479"/>
      <c r="Q37" s="478"/>
      <c r="R37" s="71"/>
    </row>
    <row r="38" spans="1:18" ht="21" customHeight="1">
      <c r="A38" s="304"/>
      <c r="B38" s="369" t="str">
        <f>INVOICE!B36</f>
        <v>PUROTEKUTA 55788-52360</v>
      </c>
      <c r="C38" s="370"/>
      <c r="D38" s="183"/>
      <c r="E38" s="183" t="str">
        <f>INVOICE!E36</f>
        <v>pcs</v>
      </c>
      <c r="F38" s="188">
        <f>INVOICE!F36</f>
        <v>5000</v>
      </c>
      <c r="G38" s="324">
        <f>VLOOKUP(B38,データ!$B$3:$E$85,4,FALSE)</f>
        <v>500</v>
      </c>
      <c r="H38" s="368"/>
      <c r="I38" s="213">
        <f t="shared" si="0"/>
        <v>10</v>
      </c>
      <c r="J38" s="383"/>
      <c r="K38" s="192">
        <f>ROUND(N38+P38,2)+5</f>
        <v>5</v>
      </c>
      <c r="L38" s="474"/>
      <c r="M38" s="479"/>
      <c r="N38" s="483"/>
      <c r="O38" s="482"/>
      <c r="P38" s="479"/>
      <c r="Q38" s="478"/>
      <c r="R38" s="71"/>
    </row>
    <row r="39" spans="1:18" ht="21" customHeight="1">
      <c r="A39" s="302" t="s">
        <v>326</v>
      </c>
      <c r="B39" s="369" t="str">
        <f>INVOICE!B37</f>
        <v>PUROTEKUTA 2A4P1-022G</v>
      </c>
      <c r="C39" s="370"/>
      <c r="D39" s="210"/>
      <c r="E39" s="183" t="str">
        <f>INVOICE!E37</f>
        <v>pcs</v>
      </c>
      <c r="F39" s="188">
        <f>INVOICE!F37</f>
        <v>11000</v>
      </c>
      <c r="G39" s="324">
        <f>VLOOKUP(B39,データ!$B$3:$E$85,4,FALSE)</f>
        <v>500</v>
      </c>
      <c r="H39" s="368"/>
      <c r="I39" s="213">
        <f t="shared" si="0"/>
        <v>22</v>
      </c>
      <c r="J39" s="382">
        <v>1</v>
      </c>
      <c r="K39" s="192">
        <f>ROUND(N39+P39,2)+10</f>
        <v>10</v>
      </c>
      <c r="L39" s="474"/>
      <c r="M39" s="479"/>
      <c r="N39" s="483"/>
      <c r="O39" s="482"/>
      <c r="P39" s="479"/>
      <c r="Q39" s="478"/>
      <c r="R39" s="71"/>
    </row>
    <row r="40" spans="1:18" ht="21" customHeight="1">
      <c r="A40" s="304"/>
      <c r="B40" s="369" t="str">
        <f>INVOICE!B38</f>
        <v>PUROTEKUTA 55788-K0060</v>
      </c>
      <c r="C40" s="370"/>
      <c r="D40" s="484"/>
      <c r="E40" s="183" t="str">
        <f>INVOICE!E38</f>
        <v>pcs</v>
      </c>
      <c r="F40" s="188">
        <f>INVOICE!F38</f>
        <v>5500</v>
      </c>
      <c r="G40" s="324">
        <f>VLOOKUP(B40,データ!$B$3:$E$85,4,FALSE)</f>
        <v>500</v>
      </c>
      <c r="H40" s="368"/>
      <c r="I40" s="213">
        <f t="shared" si="0"/>
        <v>11</v>
      </c>
      <c r="J40" s="383"/>
      <c r="K40" s="192">
        <f>ROUND(N40+P40,2)+10</f>
        <v>10</v>
      </c>
      <c r="L40" s="474"/>
      <c r="M40" s="479"/>
      <c r="N40" s="483"/>
      <c r="O40" s="482"/>
      <c r="P40" s="479"/>
      <c r="Q40" s="478"/>
      <c r="R40" s="71"/>
    </row>
    <row r="41" spans="1:18" ht="21" customHeight="1">
      <c r="A41" s="302" t="s">
        <v>327</v>
      </c>
      <c r="B41" s="369" t="str">
        <f>INVOICE!B39</f>
        <v>PUROTEKUTA 55788-48090</v>
      </c>
      <c r="C41" s="370"/>
      <c r="D41" s="183"/>
      <c r="E41" s="183" t="str">
        <f>INVOICE!E39</f>
        <v>pcs</v>
      </c>
      <c r="F41" s="188">
        <f>INVOICE!F39</f>
        <v>9000</v>
      </c>
      <c r="G41" s="324">
        <f>VLOOKUP(B41,データ!$B$3:$E$85,4,FALSE)</f>
        <v>500</v>
      </c>
      <c r="H41" s="368"/>
      <c r="I41" s="213">
        <f t="shared" si="0"/>
        <v>18</v>
      </c>
      <c r="J41" s="382">
        <v>1</v>
      </c>
      <c r="K41" s="192">
        <f>ROUND(N41+P41,2)+10</f>
        <v>10</v>
      </c>
      <c r="L41" s="474"/>
      <c r="M41" s="479"/>
      <c r="N41" s="483"/>
      <c r="O41" s="482"/>
      <c r="P41" s="479"/>
      <c r="Q41" s="478"/>
      <c r="R41" s="71"/>
    </row>
    <row r="42" spans="1:18" ht="21" customHeight="1">
      <c r="A42" s="304"/>
      <c r="B42" s="369" t="str">
        <f>INVOICE!B40</f>
        <v>PUROTEKUTA 55788-K0060</v>
      </c>
      <c r="C42" s="370"/>
      <c r="D42" s="183"/>
      <c r="E42" s="183" t="str">
        <f>INVOICE!E40</f>
        <v>pcs</v>
      </c>
      <c r="F42" s="188">
        <f>INVOICE!F40</f>
        <v>5500</v>
      </c>
      <c r="G42" s="324">
        <f>VLOOKUP(B42,データ!$B$3:$E$85,4,FALSE)</f>
        <v>500</v>
      </c>
      <c r="H42" s="368"/>
      <c r="I42" s="213">
        <f>ROUNDUP(F42/G42,0)</f>
        <v>11</v>
      </c>
      <c r="J42" s="383"/>
      <c r="K42" s="192">
        <f>ROUND(N42+P42,2)+10</f>
        <v>10</v>
      </c>
      <c r="L42" s="479"/>
      <c r="M42" s="479"/>
      <c r="N42" s="483"/>
      <c r="O42" s="482"/>
      <c r="P42" s="479"/>
      <c r="Q42" s="478"/>
      <c r="R42" s="71"/>
    </row>
    <row r="43" spans="1:18" ht="21" customHeight="1">
      <c r="A43" s="208" t="s">
        <v>328</v>
      </c>
      <c r="B43" s="369" t="str">
        <f>INVOICE!B41</f>
        <v>PUROTEKUTA 55788-K0060</v>
      </c>
      <c r="C43" s="370"/>
      <c r="D43" s="183"/>
      <c r="E43" s="183" t="str">
        <f>INVOICE!E41</f>
        <v>pcs</v>
      </c>
      <c r="F43" s="188">
        <f>INVOICE!F41</f>
        <v>13500</v>
      </c>
      <c r="G43" s="324">
        <f>VLOOKUP(B43,データ!$B$3:$E$85,4,FALSE)</f>
        <v>500</v>
      </c>
      <c r="H43" s="368"/>
      <c r="I43" s="213">
        <f t="shared" si="0"/>
        <v>27</v>
      </c>
      <c r="J43" s="224">
        <v>1</v>
      </c>
      <c r="K43" s="192">
        <f>ROUND(N43+P43,2)+20</f>
        <v>20</v>
      </c>
      <c r="L43" s="479"/>
      <c r="M43" s="479"/>
      <c r="N43" s="483"/>
      <c r="O43" s="482"/>
      <c r="P43" s="479"/>
      <c r="Q43" s="478"/>
      <c r="R43" s="71"/>
    </row>
    <row r="44" spans="1:18" ht="21" customHeight="1">
      <c r="A44" s="303" t="s">
        <v>329</v>
      </c>
      <c r="B44" s="369" t="str">
        <f>INVOICE!B42</f>
        <v>PUROTEKUTA 55788-60110</v>
      </c>
      <c r="C44" s="370"/>
      <c r="D44" s="183"/>
      <c r="E44" s="183" t="str">
        <f>INVOICE!E42</f>
        <v>pcs</v>
      </c>
      <c r="F44" s="188">
        <f>INVOICE!F42</f>
        <v>13000</v>
      </c>
      <c r="G44" s="324">
        <f>VLOOKUP(B44,データ!$B$3:$E$85,4,FALSE)</f>
        <v>500</v>
      </c>
      <c r="H44" s="368"/>
      <c r="I44" s="213">
        <f>ROUNDUP(F44/G44,0)</f>
        <v>26</v>
      </c>
      <c r="J44" s="382">
        <v>1</v>
      </c>
      <c r="K44" s="192">
        <f>ROUND(N44+P44,2)+20</f>
        <v>20</v>
      </c>
      <c r="L44" s="479"/>
      <c r="M44" s="479"/>
      <c r="N44" s="483"/>
      <c r="O44" s="482"/>
      <c r="P44" s="479"/>
      <c r="Q44" s="478"/>
      <c r="R44" s="71"/>
    </row>
    <row r="45" spans="1:18" ht="21" customHeight="1">
      <c r="A45" s="304"/>
      <c r="B45" s="369" t="str">
        <f>INVOICE!B43</f>
        <v>RAB0938-V+H450 - N</v>
      </c>
      <c r="C45" s="370"/>
      <c r="D45" s="183"/>
      <c r="E45" s="183" t="str">
        <f>INVOICE!E43</f>
        <v>pcs</v>
      </c>
      <c r="F45" s="188">
        <f>INVOICE!F43</f>
        <v>7</v>
      </c>
      <c r="G45" s="324">
        <v>7</v>
      </c>
      <c r="H45" s="368"/>
      <c r="I45" s="213">
        <f t="shared" si="0"/>
        <v>1</v>
      </c>
      <c r="J45" s="383"/>
      <c r="K45" s="192">
        <f t="shared" ref="K45" si="1">ROUND(N45+P45,2)</f>
        <v>0</v>
      </c>
      <c r="L45" s="474"/>
      <c r="M45" s="479"/>
      <c r="N45" s="483"/>
      <c r="O45" s="482"/>
      <c r="P45" s="479"/>
      <c r="Q45" s="478"/>
      <c r="R45" s="71"/>
    </row>
    <row r="46" spans="1:18" ht="21" customHeight="1">
      <c r="A46" s="208" t="s">
        <v>330</v>
      </c>
      <c r="B46" s="369" t="str">
        <f>INVOICE!B44</f>
        <v>MASK 42811</v>
      </c>
      <c r="C46" s="370"/>
      <c r="D46" s="183"/>
      <c r="E46" s="183" t="str">
        <f>INVOICE!E44</f>
        <v>bag</v>
      </c>
      <c r="F46" s="188">
        <f>INVOICE!F44</f>
        <v>12000</v>
      </c>
      <c r="G46" s="340">
        <f>VLOOKUP(B46,データ!$B$3:$E$85,4,FALSE)</f>
        <v>120</v>
      </c>
      <c r="H46" s="341"/>
      <c r="I46" s="213">
        <f>ROUNDUP(F46/G46,0)</f>
        <v>100</v>
      </c>
      <c r="J46" s="224">
        <v>5</v>
      </c>
      <c r="K46" s="192">
        <f>ROUND(N46+P46,2)+100</f>
        <v>100</v>
      </c>
      <c r="L46" s="474"/>
      <c r="M46" s="479"/>
      <c r="N46" s="483"/>
      <c r="O46" s="482"/>
      <c r="P46" s="479"/>
      <c r="Q46" s="478"/>
      <c r="R46" s="71"/>
    </row>
    <row r="47" spans="1:18" ht="21" customHeight="1">
      <c r="A47" s="221" t="s">
        <v>331</v>
      </c>
      <c r="B47" s="369" t="str">
        <f>INVOICE!B45</f>
        <v>TABLE EDGE MI3 156</v>
      </c>
      <c r="C47" s="370"/>
      <c r="D47" s="218"/>
      <c r="E47" s="183" t="str">
        <f>INVOICE!E45</f>
        <v>pcs</v>
      </c>
      <c r="F47" s="188">
        <f>INVOICE!F45</f>
        <v>240</v>
      </c>
      <c r="G47" s="324">
        <f>VLOOKUP(B47,データ!$B$3:$E$85,4,FALSE)</f>
        <v>30</v>
      </c>
      <c r="H47" s="368"/>
      <c r="I47" s="213">
        <f>ROUNDUP(F47/G47,0)</f>
        <v>8</v>
      </c>
      <c r="J47" s="225">
        <v>1</v>
      </c>
      <c r="K47" s="192">
        <f>ROUND(N47+P47,2)+20</f>
        <v>20</v>
      </c>
      <c r="L47" s="474"/>
      <c r="M47" s="479"/>
      <c r="N47" s="483"/>
      <c r="O47" s="482"/>
      <c r="P47" s="479"/>
      <c r="Q47" s="478"/>
      <c r="R47" s="71"/>
    </row>
    <row r="48" spans="1:18" ht="21" customHeight="1">
      <c r="A48" s="221"/>
      <c r="B48" s="369"/>
      <c r="C48" s="370"/>
      <c r="D48" s="214"/>
      <c r="E48" s="183"/>
      <c r="F48" s="188"/>
      <c r="G48" s="324"/>
      <c r="H48" s="325"/>
      <c r="I48" s="213"/>
      <c r="J48" s="201"/>
      <c r="K48" s="192"/>
      <c r="L48" s="484"/>
      <c r="M48" s="479"/>
      <c r="N48" s="483"/>
      <c r="O48" s="482"/>
      <c r="P48" s="479"/>
      <c r="Q48" s="478"/>
      <c r="R48" s="71"/>
    </row>
    <row r="49" spans="1:17" ht="17.25" customHeight="1">
      <c r="A49" s="331" t="s">
        <v>248</v>
      </c>
      <c r="B49" s="504"/>
      <c r="C49" s="504"/>
      <c r="D49" s="504"/>
      <c r="E49" s="279"/>
      <c r="F49" s="336">
        <f>SUMIF(E35:E48,L42,F35:F48)</f>
        <v>0</v>
      </c>
      <c r="G49" s="338"/>
      <c r="H49" s="279"/>
      <c r="I49" s="326">
        <f>SUMIF(E35:E48,L42,I35:I48)+SUMIF(E35:E48,L44,I35:I48)</f>
        <v>0</v>
      </c>
      <c r="J49" s="320">
        <f>SUM(J35:J48)</f>
        <v>13</v>
      </c>
      <c r="K49" s="322">
        <f>SUM(K35:K48)</f>
        <v>240</v>
      </c>
      <c r="L49" s="484"/>
      <c r="M49" s="479"/>
      <c r="N49" s="483"/>
      <c r="O49" s="485"/>
      <c r="P49" s="485"/>
      <c r="Q49" s="484"/>
    </row>
    <row r="50" spans="1:17" ht="3.8" customHeight="1">
      <c r="A50" s="332"/>
      <c r="B50" s="504"/>
      <c r="C50" s="504"/>
      <c r="D50" s="504"/>
      <c r="E50" s="279"/>
      <c r="F50" s="337"/>
      <c r="G50" s="338"/>
      <c r="H50" s="279"/>
      <c r="I50" s="327"/>
      <c r="J50" s="320"/>
      <c r="K50" s="322"/>
      <c r="L50" s="484"/>
      <c r="M50" s="479"/>
      <c r="N50" s="480"/>
      <c r="O50" s="485"/>
      <c r="P50" s="485"/>
      <c r="Q50" s="484"/>
    </row>
    <row r="51" spans="1:17" ht="18" customHeight="1">
      <c r="A51" s="332"/>
      <c r="B51" s="504"/>
      <c r="C51" s="504"/>
      <c r="D51" s="504"/>
      <c r="E51" s="279"/>
      <c r="F51" s="222">
        <f>SUMIF(E35:E48,L43,F35:F48)</f>
        <v>0</v>
      </c>
      <c r="G51" s="338"/>
      <c r="H51" s="279"/>
      <c r="I51" s="328">
        <f>SUMIF(E35:E48,L43,I35:I48)</f>
        <v>0</v>
      </c>
      <c r="J51" s="320"/>
      <c r="K51" s="322"/>
      <c r="L51" s="484"/>
      <c r="M51" s="485"/>
      <c r="N51" s="480"/>
      <c r="O51" s="485"/>
      <c r="P51" s="485"/>
      <c r="Q51" s="484"/>
    </row>
    <row r="52" spans="1:17" ht="21" customHeight="1" thickBot="1">
      <c r="A52" s="333"/>
      <c r="B52" s="334"/>
      <c r="C52" s="334"/>
      <c r="D52" s="334"/>
      <c r="E52" s="335"/>
      <c r="F52" s="223">
        <f>SUMIF(E35:E48,L44,F35:F48)</f>
        <v>0</v>
      </c>
      <c r="G52" s="339"/>
      <c r="H52" s="335"/>
      <c r="I52" s="329"/>
      <c r="J52" s="321"/>
      <c r="K52" s="323"/>
      <c r="L52" s="484"/>
      <c r="M52" s="485"/>
      <c r="N52" s="480"/>
      <c r="O52" s="485"/>
      <c r="P52" s="485"/>
      <c r="Q52" s="484"/>
    </row>
    <row r="53" spans="1:17" ht="20.05" customHeight="1">
      <c r="A53" s="20" t="str">
        <f>INVOICE!A50</f>
        <v>CIF TO NAGOYA PORT</v>
      </c>
      <c r="B53" s="1"/>
      <c r="F53" s="169"/>
      <c r="I53" s="319"/>
      <c r="J53" s="278"/>
      <c r="L53" s="484"/>
      <c r="M53" s="97"/>
      <c r="N53" s="475"/>
      <c r="O53" s="484"/>
      <c r="P53" s="484"/>
      <c r="Q53" s="484"/>
    </row>
    <row r="54" spans="1:17" ht="18" customHeight="1">
      <c r="A54" s="21" t="s">
        <v>56</v>
      </c>
      <c r="D54" s="179">
        <f>F49</f>
        <v>0</v>
      </c>
      <c r="E54" s="101">
        <f>F51</f>
        <v>0</v>
      </c>
      <c r="F54" s="169">
        <f>F52</f>
        <v>0</v>
      </c>
      <c r="I54" s="299" t="s">
        <v>36</v>
      </c>
      <c r="J54" s="299"/>
      <c r="K54" s="299"/>
      <c r="L54" s="484"/>
      <c r="M54" s="486"/>
      <c r="N54" s="475"/>
      <c r="O54" s="484"/>
      <c r="P54" s="484"/>
      <c r="Q54" s="484"/>
    </row>
    <row r="55" spans="1:17" ht="20.05" customHeight="1">
      <c r="A55" s="21" t="s">
        <v>57</v>
      </c>
      <c r="D55" s="48">
        <f>K49</f>
        <v>240</v>
      </c>
      <c r="E55" s="187">
        <f>J49</f>
        <v>13</v>
      </c>
      <c r="F55" s="33"/>
      <c r="H55" s="33"/>
      <c r="I55" s="178"/>
      <c r="J55" s="66"/>
      <c r="K55" s="170"/>
      <c r="L55" s="484"/>
      <c r="M55" s="484"/>
      <c r="N55" s="487"/>
      <c r="O55" s="484"/>
      <c r="P55" s="484"/>
      <c r="Q55" s="484"/>
    </row>
    <row r="56" spans="1:17" ht="25.55" customHeight="1">
      <c r="A56" s="21" t="s">
        <v>59</v>
      </c>
      <c r="D56" s="72">
        <f>1.1*1.5*1.1*6+1.1*1.1*1.4+1.1*1.2*1.8*5+1.1*1.1*1</f>
        <v>25.674000000000007</v>
      </c>
      <c r="F56" s="97"/>
      <c r="L56" s="484"/>
      <c r="M56" s="484"/>
      <c r="N56" s="475"/>
      <c r="O56" s="484"/>
      <c r="P56" s="484"/>
      <c r="Q56" s="484"/>
    </row>
    <row r="57" spans="1:17" ht="20.05" customHeight="1">
      <c r="A57" s="21" t="s">
        <v>60</v>
      </c>
      <c r="C57" s="161"/>
      <c r="L57" s="484"/>
      <c r="M57" s="484"/>
      <c r="N57" s="475"/>
      <c r="O57" s="484"/>
      <c r="P57" s="484"/>
      <c r="Q57" s="484"/>
    </row>
    <row r="58" spans="1:17" ht="80.3" customHeight="1">
      <c r="A58" s="330"/>
      <c r="B58" s="330"/>
      <c r="C58" s="330"/>
      <c r="D58" s="175"/>
      <c r="L58" s="484"/>
      <c r="M58" s="484"/>
      <c r="N58" s="484"/>
      <c r="O58" s="484"/>
      <c r="P58" s="484"/>
      <c r="Q58" s="484"/>
    </row>
    <row r="59" spans="1:17">
      <c r="L59" s="484"/>
      <c r="M59" s="484"/>
      <c r="N59" s="484"/>
      <c r="O59" s="484"/>
      <c r="P59" s="484"/>
      <c r="Q59" s="484"/>
    </row>
    <row r="60" spans="1:17">
      <c r="L60" s="484"/>
      <c r="M60" s="484"/>
      <c r="N60" s="484"/>
      <c r="O60" s="484"/>
      <c r="P60" s="484"/>
      <c r="Q60" s="484"/>
    </row>
    <row r="61" spans="1:17">
      <c r="L61" s="484"/>
      <c r="M61" s="484"/>
      <c r="N61" s="484"/>
      <c r="O61" s="484"/>
      <c r="P61" s="484"/>
      <c r="Q61" s="484"/>
    </row>
    <row r="62" spans="1:17">
      <c r="L62" s="484"/>
      <c r="M62" s="484"/>
      <c r="N62" s="484"/>
      <c r="O62" s="484"/>
      <c r="P62" s="484"/>
      <c r="Q62" s="484"/>
    </row>
    <row r="63" spans="1:17">
      <c r="L63" s="484"/>
      <c r="M63" s="484"/>
      <c r="N63" s="484"/>
      <c r="O63" s="484"/>
      <c r="P63" s="484"/>
      <c r="Q63" s="484"/>
    </row>
    <row r="64" spans="1:17">
      <c r="L64" s="484"/>
      <c r="M64" s="484"/>
      <c r="N64" s="484"/>
      <c r="O64" s="484"/>
      <c r="P64" s="484"/>
      <c r="Q64" s="484"/>
    </row>
    <row r="65" spans="3:17">
      <c r="L65" s="484"/>
      <c r="M65" s="484"/>
      <c r="N65" s="484"/>
      <c r="O65" s="484"/>
      <c r="P65" s="484"/>
      <c r="Q65" s="484"/>
    </row>
    <row r="66" spans="3:17">
      <c r="L66" s="484"/>
      <c r="M66" s="484"/>
      <c r="N66" s="484"/>
      <c r="O66" s="484"/>
      <c r="P66" s="484"/>
      <c r="Q66" s="484"/>
    </row>
    <row r="67" spans="3:17">
      <c r="L67" s="484"/>
      <c r="M67" s="484"/>
      <c r="N67" s="484"/>
      <c r="O67" s="484"/>
      <c r="P67" s="484"/>
      <c r="Q67" s="484"/>
    </row>
    <row r="68" spans="3:17">
      <c r="L68" s="484"/>
      <c r="M68" s="484"/>
      <c r="N68" s="484"/>
      <c r="O68" s="484"/>
      <c r="P68" s="484"/>
      <c r="Q68" s="484"/>
    </row>
    <row r="69" spans="3:17">
      <c r="C69" s="484"/>
      <c r="D69" s="484"/>
      <c r="E69" s="484"/>
      <c r="F69" s="484"/>
      <c r="G69" s="484"/>
      <c r="H69" s="484"/>
      <c r="I69" s="484"/>
      <c r="J69" s="484"/>
      <c r="K69" s="484"/>
      <c r="L69" s="484"/>
      <c r="M69" s="484"/>
      <c r="N69" s="484"/>
      <c r="O69" s="484"/>
      <c r="P69" s="484"/>
      <c r="Q69" s="484"/>
    </row>
    <row r="70" spans="3:17">
      <c r="C70" s="484"/>
      <c r="D70" s="484"/>
      <c r="E70" s="484"/>
      <c r="F70" s="484"/>
      <c r="G70" s="484"/>
      <c r="H70" s="484"/>
      <c r="I70" s="484"/>
      <c r="J70" s="484"/>
      <c r="K70" s="484"/>
      <c r="L70" s="484"/>
      <c r="M70" s="484"/>
      <c r="N70" s="484"/>
      <c r="O70" s="484"/>
      <c r="P70" s="484"/>
      <c r="Q70" s="484"/>
    </row>
    <row r="71" spans="3:17">
      <c r="C71" s="484"/>
      <c r="D71" s="484"/>
      <c r="E71" s="489"/>
      <c r="F71" s="489"/>
      <c r="G71" s="489"/>
      <c r="H71" s="489"/>
      <c r="I71" s="489"/>
      <c r="J71" s="489"/>
      <c r="K71" s="489"/>
      <c r="L71" s="484"/>
      <c r="M71" s="484"/>
      <c r="N71" s="484"/>
      <c r="O71" s="484"/>
      <c r="P71" s="484"/>
      <c r="Q71" s="484"/>
    </row>
    <row r="72" spans="3:17">
      <c r="C72" s="484"/>
      <c r="D72" s="484"/>
      <c r="E72" s="489"/>
      <c r="F72" s="490"/>
      <c r="G72" s="491"/>
      <c r="H72" s="492"/>
      <c r="I72" s="493"/>
      <c r="J72" s="493"/>
      <c r="K72" s="493"/>
      <c r="L72" s="484"/>
      <c r="M72" s="484"/>
      <c r="N72" s="484"/>
      <c r="O72" s="484"/>
      <c r="P72" s="484"/>
      <c r="Q72" s="484"/>
    </row>
    <row r="73" spans="3:17">
      <c r="C73" s="484"/>
      <c r="D73" s="484"/>
      <c r="E73" s="489"/>
      <c r="F73" s="490"/>
      <c r="G73" s="491"/>
      <c r="H73" s="492"/>
      <c r="I73" s="493"/>
      <c r="J73" s="493"/>
      <c r="K73" s="493"/>
      <c r="L73" s="488"/>
      <c r="M73" s="484"/>
      <c r="N73" s="484"/>
      <c r="O73" s="484"/>
      <c r="P73" s="484"/>
      <c r="Q73" s="484"/>
    </row>
    <row r="74" spans="3:17">
      <c r="C74" s="484"/>
      <c r="D74" s="484"/>
      <c r="E74" s="489"/>
      <c r="F74" s="490"/>
      <c r="G74" s="491"/>
      <c r="H74" s="492"/>
      <c r="I74" s="493"/>
      <c r="J74" s="493"/>
      <c r="K74" s="493"/>
      <c r="L74" s="488"/>
      <c r="M74" s="484"/>
      <c r="N74" s="484"/>
      <c r="O74" s="484"/>
      <c r="P74" s="484"/>
      <c r="Q74" s="484"/>
    </row>
    <row r="75" spans="3:17">
      <c r="C75" s="484"/>
      <c r="D75" s="484"/>
      <c r="E75" s="489"/>
      <c r="F75" s="490"/>
      <c r="G75" s="491"/>
      <c r="H75" s="492"/>
      <c r="I75" s="493"/>
      <c r="J75" s="493"/>
      <c r="K75" s="493"/>
      <c r="L75" s="488"/>
      <c r="M75" s="484"/>
      <c r="N75" s="484"/>
      <c r="O75" s="484"/>
      <c r="P75" s="484"/>
      <c r="Q75" s="484"/>
    </row>
    <row r="76" spans="3:17">
      <c r="C76" s="484"/>
      <c r="D76" s="484"/>
      <c r="E76" s="489"/>
      <c r="F76" s="490"/>
      <c r="G76" s="491"/>
      <c r="H76" s="492"/>
      <c r="I76" s="493"/>
      <c r="J76" s="493"/>
      <c r="K76" s="493"/>
      <c r="L76" s="488"/>
      <c r="M76" s="484"/>
      <c r="N76" s="484"/>
      <c r="O76" s="484"/>
      <c r="P76" s="484"/>
      <c r="Q76" s="484"/>
    </row>
    <row r="77" spans="3:17">
      <c r="C77" s="484"/>
      <c r="D77" s="484"/>
      <c r="E77" s="489"/>
      <c r="F77" s="490"/>
      <c r="G77" s="491"/>
      <c r="H77" s="492"/>
      <c r="I77" s="489"/>
      <c r="J77" s="493"/>
      <c r="K77" s="493"/>
      <c r="L77" s="484"/>
      <c r="M77" s="484"/>
      <c r="N77" s="484"/>
      <c r="O77" s="484"/>
      <c r="P77" s="484"/>
      <c r="Q77" s="484"/>
    </row>
    <row r="78" spans="3:17">
      <c r="C78" s="484"/>
      <c r="D78" s="484"/>
      <c r="E78" s="489"/>
      <c r="F78" s="490"/>
      <c r="G78" s="491"/>
      <c r="H78" s="492"/>
      <c r="I78" s="489"/>
      <c r="J78" s="493"/>
      <c r="K78" s="493"/>
      <c r="L78" s="484"/>
    </row>
    <row r="79" spans="3:17">
      <c r="C79" s="484"/>
      <c r="D79" s="484"/>
      <c r="E79" s="489"/>
      <c r="F79" s="490"/>
      <c r="G79" s="491"/>
      <c r="H79" s="492"/>
      <c r="I79" s="489"/>
      <c r="J79" s="493"/>
      <c r="K79" s="493"/>
      <c r="L79" s="484"/>
    </row>
    <row r="80" spans="3:17">
      <c r="C80" s="484"/>
      <c r="D80" s="484"/>
      <c r="E80" s="489"/>
      <c r="F80" s="490"/>
      <c r="G80" s="491"/>
      <c r="H80" s="492"/>
      <c r="I80" s="489"/>
      <c r="J80" s="493"/>
      <c r="K80" s="493"/>
      <c r="L80" s="484"/>
    </row>
    <row r="81" spans="3:12">
      <c r="C81" s="484"/>
      <c r="D81" s="484"/>
      <c r="E81" s="489"/>
      <c r="F81" s="490"/>
      <c r="G81" s="491"/>
      <c r="H81" s="492"/>
      <c r="I81" s="489"/>
      <c r="J81" s="493"/>
      <c r="K81" s="493"/>
      <c r="L81" s="484"/>
    </row>
    <row r="82" spans="3:12">
      <c r="C82" s="484"/>
      <c r="D82" s="484"/>
      <c r="E82" s="489"/>
      <c r="F82" s="490"/>
      <c r="G82" s="491"/>
      <c r="H82" s="492"/>
      <c r="I82" s="494"/>
      <c r="J82" s="493"/>
      <c r="K82" s="493"/>
      <c r="L82" s="484"/>
    </row>
    <row r="83" spans="3:12">
      <c r="C83" s="484"/>
      <c r="D83" s="484"/>
      <c r="E83" s="489"/>
      <c r="F83" s="490"/>
      <c r="G83" s="491"/>
      <c r="H83" s="492"/>
      <c r="I83" s="494"/>
      <c r="J83" s="493"/>
      <c r="K83" s="493"/>
      <c r="L83" s="484"/>
    </row>
    <row r="84" spans="3:12">
      <c r="C84" s="495"/>
      <c r="D84" s="495"/>
      <c r="E84" s="489"/>
      <c r="F84" s="490"/>
      <c r="G84" s="491"/>
      <c r="H84" s="492"/>
      <c r="I84" s="494"/>
      <c r="J84" s="493"/>
      <c r="K84" s="493"/>
      <c r="L84" s="484"/>
    </row>
    <row r="85" spans="3:12">
      <c r="C85" s="484"/>
      <c r="D85" s="484"/>
      <c r="E85" s="489"/>
      <c r="F85" s="490"/>
      <c r="G85" s="491"/>
      <c r="H85" s="492"/>
      <c r="I85" s="494"/>
      <c r="J85" s="493"/>
      <c r="K85" s="493"/>
      <c r="L85" s="484"/>
    </row>
    <row r="86" spans="3:12">
      <c r="C86" s="484"/>
      <c r="D86" s="484"/>
      <c r="E86" s="487"/>
      <c r="F86" s="496"/>
      <c r="G86" s="491"/>
      <c r="H86" s="497"/>
      <c r="I86" s="484"/>
      <c r="J86" s="487"/>
      <c r="K86" s="493"/>
      <c r="L86" s="484"/>
    </row>
    <row r="87" spans="3:12">
      <c r="C87" s="484"/>
      <c r="D87" s="484"/>
      <c r="E87" s="487"/>
      <c r="F87" s="496"/>
      <c r="G87" s="491"/>
      <c r="H87" s="498"/>
      <c r="I87" s="484"/>
      <c r="J87" s="487"/>
      <c r="K87" s="493"/>
      <c r="L87" s="484"/>
    </row>
    <row r="88" spans="3:12">
      <c r="C88" s="484"/>
      <c r="D88" s="484"/>
      <c r="E88" s="487"/>
      <c r="F88" s="499"/>
      <c r="G88" s="491"/>
      <c r="H88" s="500"/>
      <c r="I88" s="484"/>
      <c r="J88" s="501"/>
      <c r="K88" s="493"/>
      <c r="L88" s="502"/>
    </row>
    <row r="89" spans="3:12">
      <c r="C89" s="484"/>
      <c r="D89" s="484"/>
      <c r="E89" s="487"/>
      <c r="F89" s="499"/>
      <c r="G89" s="491"/>
      <c r="H89" s="500"/>
      <c r="I89" s="484"/>
      <c r="J89" s="501"/>
      <c r="K89" s="493"/>
      <c r="L89" s="502"/>
    </row>
    <row r="90" spans="3:12">
      <c r="C90" s="484"/>
      <c r="D90" s="484"/>
      <c r="E90" s="487"/>
      <c r="F90" s="499"/>
      <c r="G90" s="491"/>
      <c r="H90" s="500"/>
      <c r="I90" s="484"/>
      <c r="J90" s="501"/>
      <c r="K90" s="493"/>
      <c r="L90" s="502"/>
    </row>
    <row r="91" spans="3:12">
      <c r="C91" s="484"/>
      <c r="D91" s="484"/>
      <c r="E91" s="487"/>
      <c r="F91" s="499"/>
      <c r="G91" s="491"/>
      <c r="H91" s="500"/>
      <c r="I91" s="484"/>
      <c r="J91" s="501"/>
      <c r="K91" s="493"/>
      <c r="L91" s="502"/>
    </row>
    <row r="92" spans="3:12">
      <c r="C92" s="484"/>
      <c r="D92" s="484"/>
      <c r="E92" s="487"/>
      <c r="F92" s="499"/>
      <c r="G92" s="491"/>
      <c r="H92" s="500"/>
      <c r="I92" s="484"/>
      <c r="J92" s="501"/>
      <c r="K92" s="493"/>
      <c r="L92" s="502"/>
    </row>
    <row r="93" spans="3:12">
      <c r="C93" s="484"/>
      <c r="D93" s="484"/>
      <c r="E93" s="487"/>
      <c r="F93" s="499"/>
      <c r="G93" s="491"/>
      <c r="H93" s="500"/>
      <c r="I93" s="484"/>
      <c r="J93" s="501"/>
      <c r="K93" s="493"/>
      <c r="L93" s="502"/>
    </row>
    <row r="94" spans="3:12">
      <c r="C94" s="484"/>
      <c r="D94" s="484"/>
      <c r="E94" s="487"/>
      <c r="F94" s="503"/>
      <c r="G94" s="491"/>
      <c r="H94" s="498"/>
      <c r="I94" s="487"/>
      <c r="J94" s="501"/>
      <c r="K94" s="493"/>
      <c r="L94" s="484"/>
    </row>
    <row r="95" spans="3:12">
      <c r="C95" s="484"/>
      <c r="D95" s="484"/>
      <c r="E95" s="487"/>
      <c r="F95" s="503"/>
      <c r="G95" s="491"/>
      <c r="H95" s="498"/>
      <c r="I95" s="487"/>
      <c r="J95" s="501"/>
      <c r="K95" s="493"/>
      <c r="L95" s="484"/>
    </row>
    <row r="96" spans="3:12">
      <c r="C96" s="484"/>
      <c r="D96" s="484"/>
      <c r="E96" s="487"/>
      <c r="F96" s="503"/>
      <c r="G96" s="491"/>
      <c r="H96" s="498"/>
      <c r="I96" s="487"/>
      <c r="J96" s="501"/>
      <c r="K96" s="493"/>
      <c r="L96" s="484"/>
    </row>
    <row r="97" spans="3:12">
      <c r="C97" s="484"/>
      <c r="D97" s="484"/>
      <c r="E97" s="487"/>
      <c r="F97" s="487"/>
      <c r="G97" s="491"/>
      <c r="H97" s="487"/>
      <c r="I97" s="487"/>
      <c r="J97" s="487"/>
      <c r="K97" s="487"/>
      <c r="L97" s="484"/>
    </row>
    <row r="98" spans="3:12">
      <c r="C98" s="484"/>
      <c r="D98" s="484"/>
      <c r="E98" s="484"/>
      <c r="F98" s="484"/>
      <c r="G98" s="484"/>
      <c r="H98" s="484"/>
      <c r="I98" s="484"/>
      <c r="J98" s="484"/>
      <c r="K98" s="484"/>
      <c r="L98" s="484"/>
    </row>
    <row r="99" spans="3:12">
      <c r="C99" s="484"/>
      <c r="D99" s="484"/>
      <c r="E99" s="484"/>
      <c r="F99" s="484"/>
      <c r="G99" s="484"/>
      <c r="H99" s="484"/>
      <c r="I99" s="484"/>
      <c r="J99" s="484"/>
      <c r="K99" s="484"/>
      <c r="L99" s="484"/>
    </row>
    <row r="100" spans="3:12">
      <c r="C100" s="484"/>
      <c r="D100" s="484"/>
      <c r="E100" s="484"/>
      <c r="F100" s="484"/>
      <c r="G100" s="484"/>
      <c r="H100" s="484"/>
      <c r="I100" s="484"/>
      <c r="J100" s="484"/>
      <c r="K100" s="484"/>
      <c r="L100" s="484"/>
    </row>
  </sheetData>
  <mergeCells count="70">
    <mergeCell ref="J44:J45"/>
    <mergeCell ref="B48:C48"/>
    <mergeCell ref="G47:H47"/>
    <mergeCell ref="B47:C47"/>
    <mergeCell ref="A37:A38"/>
    <mergeCell ref="J37:J38"/>
    <mergeCell ref="J39:J40"/>
    <mergeCell ref="J41:J42"/>
    <mergeCell ref="G43:H43"/>
    <mergeCell ref="G39:H39"/>
    <mergeCell ref="G38:H38"/>
    <mergeCell ref="B42:C42"/>
    <mergeCell ref="B45:C45"/>
    <mergeCell ref="G42:H42"/>
    <mergeCell ref="G45:H45"/>
    <mergeCell ref="G40:H40"/>
    <mergeCell ref="G41:H41"/>
    <mergeCell ref="G44:H44"/>
    <mergeCell ref="A44:A45"/>
    <mergeCell ref="A39:A40"/>
    <mergeCell ref="A41:A42"/>
    <mergeCell ref="B43:C43"/>
    <mergeCell ref="B39:C39"/>
    <mergeCell ref="B41:C41"/>
    <mergeCell ref="B40:C40"/>
    <mergeCell ref="B44:C44"/>
    <mergeCell ref="H8:K10"/>
    <mergeCell ref="J11:K12"/>
    <mergeCell ref="H11:I12"/>
    <mergeCell ref="J13:K13"/>
    <mergeCell ref="H13:I13"/>
    <mergeCell ref="H14:K14"/>
    <mergeCell ref="G36:H36"/>
    <mergeCell ref="B38:C38"/>
    <mergeCell ref="K31:K34"/>
    <mergeCell ref="J31:J34"/>
    <mergeCell ref="B35:C35"/>
    <mergeCell ref="G35:H35"/>
    <mergeCell ref="B37:C37"/>
    <mergeCell ref="G37:H37"/>
    <mergeCell ref="B36:C36"/>
    <mergeCell ref="A1:K4"/>
    <mergeCell ref="E31:E34"/>
    <mergeCell ref="H15:K17"/>
    <mergeCell ref="A23:C23"/>
    <mergeCell ref="I31:I34"/>
    <mergeCell ref="A24:C24"/>
    <mergeCell ref="C25:E25"/>
    <mergeCell ref="G31:H34"/>
    <mergeCell ref="B31:C34"/>
    <mergeCell ref="A31:A34"/>
    <mergeCell ref="A27:F29"/>
    <mergeCell ref="G26:G29"/>
    <mergeCell ref="F31:F34"/>
    <mergeCell ref="D31:D34"/>
    <mergeCell ref="H5:K5"/>
    <mergeCell ref="A26:F26"/>
    <mergeCell ref="A58:C58"/>
    <mergeCell ref="A49:E52"/>
    <mergeCell ref="F49:F50"/>
    <mergeCell ref="G49:H52"/>
    <mergeCell ref="G46:H46"/>
    <mergeCell ref="B46:C46"/>
    <mergeCell ref="I54:K54"/>
    <mergeCell ref="I53:J53"/>
    <mergeCell ref="J49:J52"/>
    <mergeCell ref="K49:K52"/>
    <mergeCell ref="G48:H48"/>
    <mergeCell ref="I49:I50"/>
    <mergeCell ref="I51:I52"/>
  </mergeCells>
  <phoneticPr fontId="4"/>
  <pageMargins left="0.16" right="0" top="0" bottom="0" header="0" footer="0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"/>
  <sheetViews>
    <sheetView showZeros="0" view="pageBreakPreview" topLeftCell="A24" zoomScaleNormal="100" zoomScaleSheetLayoutView="100" workbookViewId="0">
      <selection activeCell="E36" sqref="E36"/>
    </sheetView>
  </sheetViews>
  <sheetFormatPr defaultRowHeight="13.8"/>
  <cols>
    <col min="1" max="1" width="8.88671875" customWidth="1"/>
    <col min="3" max="3" width="26.109375" customWidth="1"/>
    <col min="4" max="4" width="10.33203125" customWidth="1"/>
    <col min="5" max="5" width="12.88671875" customWidth="1"/>
    <col min="7" max="7" width="6.21875" customWidth="1"/>
    <col min="8" max="8" width="8.6640625" customWidth="1"/>
    <col min="9" max="9" width="6.88671875" customWidth="1"/>
    <col min="10" max="10" width="1.6640625" customWidth="1"/>
    <col min="11" max="11" width="11" customWidth="1"/>
    <col min="12" max="12" width="6.33203125" customWidth="1"/>
    <col min="13" max="14" width="9" customWidth="1"/>
    <col min="15" max="15" width="11.33203125" customWidth="1"/>
  </cols>
  <sheetData>
    <row r="1" spans="1:10" ht="8.3000000000000007" customHeight="1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7.55" customHeight="1">
      <c r="A2" s="253"/>
      <c r="B2" s="253"/>
      <c r="C2" s="253"/>
      <c r="D2" s="253"/>
      <c r="E2" s="253"/>
      <c r="F2" s="253"/>
      <c r="G2" s="253"/>
      <c r="H2" s="253"/>
      <c r="I2" s="253"/>
      <c r="J2" s="253"/>
    </row>
    <row r="3" spans="1:10" ht="13.5" customHeight="1">
      <c r="A3" s="253"/>
      <c r="B3" s="253"/>
      <c r="C3" s="253"/>
      <c r="D3" s="253"/>
      <c r="E3" s="253"/>
      <c r="F3" s="253"/>
      <c r="G3" s="253"/>
      <c r="H3" s="253"/>
      <c r="I3" s="253"/>
      <c r="J3" s="253"/>
    </row>
    <row r="4" spans="1:10" ht="6.75" customHeight="1">
      <c r="A4" s="253"/>
      <c r="B4" s="253"/>
      <c r="C4" s="253"/>
      <c r="D4" s="253"/>
      <c r="E4" s="253"/>
      <c r="F4" s="253"/>
      <c r="G4" s="253"/>
      <c r="H4" s="253"/>
      <c r="I4" s="253"/>
      <c r="J4" s="253"/>
    </row>
    <row r="5" spans="1:10">
      <c r="F5" s="295" t="str">
        <f>INVOICE!G5</f>
        <v>インボイス作成日（Date): 5/12/2025</v>
      </c>
      <c r="G5" s="295"/>
      <c r="H5" s="295"/>
      <c r="I5" s="295"/>
      <c r="J5" s="295"/>
    </row>
    <row r="7" spans="1:10" ht="14.4" thickBot="1"/>
    <row r="8" spans="1:10" ht="14.4">
      <c r="A8" s="23" t="s">
        <v>1</v>
      </c>
      <c r="B8" s="24"/>
      <c r="C8" s="24"/>
      <c r="D8" s="11"/>
      <c r="E8" s="12"/>
      <c r="F8" s="259" t="str">
        <f>INVOICE!G8</f>
        <v>Invoice No
MASUDA VN-JP 019/25</v>
      </c>
      <c r="G8" s="260"/>
      <c r="H8" s="260"/>
      <c r="I8" s="261"/>
    </row>
    <row r="9" spans="1:10" ht="13.5" customHeight="1">
      <c r="A9" s="13"/>
      <c r="E9" s="6"/>
      <c r="F9" s="262"/>
      <c r="G9" s="263"/>
      <c r="H9" s="263"/>
      <c r="I9" s="264"/>
    </row>
    <row r="10" spans="1:10" ht="13.5" customHeight="1">
      <c r="A10" s="87" t="s">
        <v>2</v>
      </c>
      <c r="B10" s="2"/>
      <c r="C10" s="2"/>
      <c r="D10" s="2"/>
      <c r="E10" s="10"/>
      <c r="F10" s="262"/>
      <c r="G10" s="263"/>
      <c r="H10" s="263"/>
      <c r="I10" s="264"/>
    </row>
    <row r="11" spans="1:10" ht="13.5" customHeight="1">
      <c r="A11" s="85" t="s">
        <v>3</v>
      </c>
      <c r="B11" s="1"/>
      <c r="C11" s="1"/>
      <c r="D11" s="1"/>
      <c r="E11" s="86"/>
      <c r="F11" s="265" t="s">
        <v>94</v>
      </c>
      <c r="G11" s="266"/>
      <c r="H11" s="269" t="s">
        <v>5</v>
      </c>
      <c r="I11" s="256"/>
    </row>
    <row r="12" spans="1:10" ht="27.7" customHeight="1">
      <c r="A12" s="85" t="s">
        <v>6</v>
      </c>
      <c r="B12" s="1"/>
      <c r="C12" s="1"/>
      <c r="D12" s="1"/>
      <c r="E12" s="86"/>
      <c r="F12" s="267"/>
      <c r="G12" s="268"/>
      <c r="H12" s="270"/>
      <c r="I12" s="271"/>
    </row>
    <row r="13" spans="1:10" ht="14.4">
      <c r="A13" s="85" t="s">
        <v>7</v>
      </c>
      <c r="B13" s="1"/>
      <c r="C13" s="1"/>
      <c r="D13" s="276"/>
      <c r="E13" s="277"/>
      <c r="F13" s="272" t="s">
        <v>8</v>
      </c>
      <c r="G13" s="273"/>
      <c r="H13" s="274" t="s">
        <v>9</v>
      </c>
      <c r="I13" s="275"/>
    </row>
    <row r="14" spans="1:10" ht="14.4">
      <c r="A14" s="85" t="s">
        <v>10</v>
      </c>
      <c r="B14" s="1"/>
      <c r="D14" s="278"/>
      <c r="E14" s="279"/>
      <c r="F14" s="254" t="s">
        <v>11</v>
      </c>
      <c r="G14" s="255"/>
      <c r="H14" s="255"/>
      <c r="I14" s="256"/>
    </row>
    <row r="15" spans="1:10" ht="6.75" customHeight="1">
      <c r="A15" s="15"/>
      <c r="B15" s="7"/>
      <c r="C15" s="7"/>
      <c r="D15" s="88"/>
      <c r="E15" s="8"/>
      <c r="F15" s="280" t="s">
        <v>12</v>
      </c>
      <c r="G15" s="281"/>
      <c r="H15" s="281"/>
      <c r="I15" s="282"/>
    </row>
    <row r="16" spans="1:10" ht="14.4">
      <c r="A16" s="28" t="s">
        <v>13</v>
      </c>
      <c r="B16" s="29"/>
      <c r="C16" s="29"/>
      <c r="D16" s="3"/>
      <c r="E16" s="4"/>
      <c r="F16" s="258"/>
      <c r="G16" s="249"/>
      <c r="H16" s="249"/>
      <c r="I16" s="283"/>
    </row>
    <row r="17" spans="1:10" ht="13.5" hidden="1" customHeight="1">
      <c r="A17" s="16"/>
      <c r="B17" s="157"/>
      <c r="E17" s="6"/>
      <c r="F17" s="258"/>
      <c r="G17" s="249"/>
      <c r="H17" s="249"/>
      <c r="I17" s="283"/>
    </row>
    <row r="18" spans="1:10" ht="5.95" customHeight="1">
      <c r="A18" s="16"/>
      <c r="B18" s="157"/>
      <c r="E18" s="6"/>
      <c r="F18" s="258"/>
      <c r="G18" s="249"/>
      <c r="H18" s="249"/>
      <c r="I18" s="283"/>
    </row>
    <row r="19" spans="1:10" ht="17.55">
      <c r="A19" s="87" t="s">
        <v>14</v>
      </c>
      <c r="B19" s="1"/>
      <c r="C19" s="1"/>
      <c r="E19" s="6"/>
      <c r="F19" s="284"/>
      <c r="G19" s="285"/>
      <c r="H19" s="285"/>
      <c r="I19" s="286"/>
    </row>
    <row r="20" spans="1:10" ht="14.4">
      <c r="A20" s="85" t="s">
        <v>15</v>
      </c>
      <c r="B20" s="1"/>
      <c r="C20" s="1"/>
      <c r="E20" s="6"/>
      <c r="F20" s="5" t="s">
        <v>16</v>
      </c>
      <c r="H20" s="38"/>
      <c r="I20" s="14"/>
      <c r="J20" s="13"/>
    </row>
    <row r="21" spans="1:10" ht="14.4">
      <c r="A21" s="85" t="s">
        <v>17</v>
      </c>
      <c r="B21" s="1"/>
      <c r="C21" s="1"/>
      <c r="E21" s="6"/>
      <c r="F21" s="5"/>
      <c r="I21" s="14"/>
      <c r="J21" s="13"/>
    </row>
    <row r="22" spans="1:10" ht="15.05" customHeight="1">
      <c r="A22" s="229" t="s">
        <v>18</v>
      </c>
      <c r="B22" s="230"/>
      <c r="C22" s="230"/>
      <c r="D22" s="227"/>
      <c r="E22" s="228"/>
      <c r="F22" s="94" t="s">
        <v>19</v>
      </c>
      <c r="G22" t="s">
        <v>20</v>
      </c>
      <c r="I22" s="14"/>
      <c r="J22" s="13"/>
    </row>
    <row r="23" spans="1:10" ht="15.05" customHeight="1">
      <c r="A23" s="229" t="s">
        <v>21</v>
      </c>
      <c r="B23" s="230"/>
      <c r="C23" s="230"/>
      <c r="D23" s="227"/>
      <c r="E23" s="228"/>
      <c r="F23" s="93"/>
      <c r="G23" t="s">
        <v>22</v>
      </c>
      <c r="H23" s="6"/>
      <c r="I23" s="14"/>
    </row>
    <row r="24" spans="1:10" ht="7.55" customHeight="1">
      <c r="A24" s="35"/>
      <c r="B24" s="36"/>
      <c r="C24" s="236"/>
      <c r="D24" s="236"/>
      <c r="E24" s="8"/>
      <c r="I24" s="14"/>
    </row>
    <row r="25" spans="1:10" ht="14.4">
      <c r="A25" s="391" t="s">
        <v>95</v>
      </c>
      <c r="B25" s="392"/>
      <c r="C25" s="392"/>
      <c r="D25" s="393"/>
      <c r="E25" s="37" t="s">
        <v>96</v>
      </c>
      <c r="F25" s="93"/>
      <c r="G25" t="s">
        <v>24</v>
      </c>
      <c r="I25" s="14"/>
    </row>
    <row r="26" spans="1:10" ht="14.4">
      <c r="A26" s="394" t="s">
        <v>97</v>
      </c>
      <c r="B26" s="395"/>
      <c r="C26" s="395"/>
      <c r="D26" s="396"/>
      <c r="E26" s="249" t="s">
        <v>98</v>
      </c>
      <c r="F26" s="93"/>
      <c r="G26" t="s">
        <v>25</v>
      </c>
      <c r="I26" s="14"/>
    </row>
    <row r="27" spans="1:10" ht="14.4">
      <c r="A27" s="397" t="s">
        <v>99</v>
      </c>
      <c r="B27" s="398"/>
      <c r="C27" s="398"/>
      <c r="D27" s="399"/>
      <c r="E27" s="279"/>
      <c r="F27" s="93"/>
      <c r="G27" t="s">
        <v>26</v>
      </c>
      <c r="I27" s="14"/>
    </row>
    <row r="28" spans="1:10" ht="15.05" thickBot="1">
      <c r="A28" s="400" t="s">
        <v>100</v>
      </c>
      <c r="B28" s="401"/>
      <c r="C28" s="401"/>
      <c r="D28" s="402"/>
      <c r="E28" s="335"/>
      <c r="F28" s="17"/>
      <c r="G28" s="17"/>
      <c r="H28" s="17"/>
      <c r="I28" s="18"/>
    </row>
    <row r="29" spans="1:10" ht="14.4" thickBot="1"/>
    <row r="30" spans="1:10" ht="13.5" customHeight="1">
      <c r="A30" s="287" t="s">
        <v>27</v>
      </c>
      <c r="B30" s="247" t="s">
        <v>28</v>
      </c>
      <c r="C30" s="248"/>
      <c r="D30" s="296" t="s">
        <v>29</v>
      </c>
      <c r="E30" s="290" t="s">
        <v>30</v>
      </c>
      <c r="F30" s="257" t="s">
        <v>31</v>
      </c>
      <c r="G30" s="248"/>
      <c r="H30" s="290" t="s">
        <v>32</v>
      </c>
      <c r="I30" s="291"/>
    </row>
    <row r="31" spans="1:10">
      <c r="A31" s="354"/>
      <c r="B31" s="249"/>
      <c r="C31" s="250"/>
      <c r="D31" s="232"/>
      <c r="E31" s="292"/>
      <c r="F31" s="258"/>
      <c r="G31" s="250"/>
      <c r="H31" s="292"/>
      <c r="I31" s="293"/>
    </row>
    <row r="32" spans="1:10">
      <c r="A32" s="354"/>
      <c r="B32" s="249"/>
      <c r="C32" s="250"/>
      <c r="D32" s="232"/>
      <c r="E32" s="292"/>
      <c r="F32" s="258"/>
      <c r="G32" s="250"/>
      <c r="H32" s="292"/>
      <c r="I32" s="293"/>
    </row>
    <row r="33" spans="1:16" ht="14.4">
      <c r="A33" s="355"/>
      <c r="B33" s="285"/>
      <c r="C33" s="403"/>
      <c r="D33" s="343"/>
      <c r="E33" s="362"/>
      <c r="F33" s="284"/>
      <c r="G33" s="403"/>
      <c r="H33" s="362"/>
      <c r="I33" s="405"/>
      <c r="J33" s="13"/>
      <c r="K33" s="89" t="s">
        <v>276</v>
      </c>
      <c r="L33" s="89" t="s">
        <v>280</v>
      </c>
      <c r="M33" s="102" t="s">
        <v>49</v>
      </c>
      <c r="N33" s="103" t="s">
        <v>277</v>
      </c>
      <c r="O33" t="s">
        <v>294</v>
      </c>
      <c r="P33" t="s">
        <v>295</v>
      </c>
    </row>
    <row r="34" spans="1:16" ht="17.25" customHeight="1">
      <c r="A34" s="190">
        <v>1</v>
      </c>
      <c r="B34" s="231" t="s">
        <v>217</v>
      </c>
      <c r="C34" s="232"/>
      <c r="D34" s="159" t="str">
        <f>VLOOKUP(B34,データ!$B$3:$L$85,11,FALSE)</f>
        <v>pcs</v>
      </c>
      <c r="E34" s="205">
        <v>13000</v>
      </c>
      <c r="F34" s="404">
        <f>VLOOKUP(B34,データ!$B$3:$C$85,2,FALSE)</f>
        <v>0.223</v>
      </c>
      <c r="G34" s="404"/>
      <c r="H34" s="234">
        <f t="shared" ref="H34" si="0">F34*E34</f>
        <v>2899</v>
      </c>
      <c r="I34" s="235"/>
      <c r="K34" s="93">
        <f>_xlfn.IFNA(VLOOKUP(B34,データ!$B$3:$O$137,12,0),"")</f>
        <v>39169092</v>
      </c>
      <c r="L34" s="93" t="str">
        <f>_xlfn.IFNA(VLOOKUP(B34,データ!$B$3:$O$137,13,0),"")</f>
        <v>Kg</v>
      </c>
      <c r="M34" s="93">
        <f>_xlfn.IFNA(VLOOKUP(B34,データ!$B$3:$D$127,3,FALSE),"")</f>
        <v>25</v>
      </c>
      <c r="N34" s="195">
        <f>IF(L34="kg",M34*E34/1000,AND(IF(L34="PCE",E34)))</f>
        <v>325</v>
      </c>
      <c r="O34" s="39">
        <f ca="1">SUMIF(INVOICE!$B$33:$C$45,B34,INVOICE!$F$33:$F$45)</f>
        <v>13000</v>
      </c>
      <c r="P34" s="181">
        <f ca="1">+E34-O34</f>
        <v>0</v>
      </c>
    </row>
    <row r="35" spans="1:16" ht="17.25" customHeight="1">
      <c r="A35" s="190">
        <f>A34+1</f>
        <v>2</v>
      </c>
      <c r="B35" s="231" t="s">
        <v>218</v>
      </c>
      <c r="C35" s="232"/>
      <c r="D35" s="159" t="str">
        <f>VLOOKUP(B35,データ!$B$3:$L$85,11,FALSE)</f>
        <v>pcs</v>
      </c>
      <c r="E35" s="205">
        <v>11000</v>
      </c>
      <c r="F35" s="404">
        <f>VLOOKUP(B35,データ!$B$3:$C$85,2,FALSE)</f>
        <v>0.223</v>
      </c>
      <c r="G35" s="404"/>
      <c r="H35" s="234">
        <f t="shared" ref="H35:H36" si="1">F35*E35</f>
        <v>2453</v>
      </c>
      <c r="I35" s="235"/>
      <c r="K35" s="93">
        <f>_xlfn.IFNA(VLOOKUP(B35,データ!$B$3:$O$137,12,0),"")</f>
        <v>39169092</v>
      </c>
      <c r="L35" s="93" t="str">
        <f>_xlfn.IFNA(VLOOKUP(B35,データ!$B$3:$O$137,13,0),"")</f>
        <v>Kg</v>
      </c>
      <c r="M35" s="93">
        <f>_xlfn.IFNA(VLOOKUP(B35,データ!$B$3:$D$127,3,FALSE),"")</f>
        <v>25</v>
      </c>
      <c r="N35" s="195">
        <f t="shared" ref="N35:N42" si="2">IF(L35="kg",M35*E35/1000,AND(IF(L35="PCE",E35)))</f>
        <v>275</v>
      </c>
      <c r="O35" s="39">
        <f ca="1">SUMIF(INVOICE!$B$33:$C$45,B35,INVOICE!$F$33:$F$45)</f>
        <v>11000</v>
      </c>
      <c r="P35" s="181">
        <f t="shared" ref="P35:P36" ca="1" si="3">+E35-O35</f>
        <v>0</v>
      </c>
    </row>
    <row r="36" spans="1:16" ht="17.25" customHeight="1">
      <c r="A36" s="190">
        <f t="shared" ref="A36:A48" si="4">A35+1</f>
        <v>3</v>
      </c>
      <c r="B36" s="231" t="s">
        <v>186</v>
      </c>
      <c r="C36" s="232"/>
      <c r="D36" s="159" t="str">
        <f>VLOOKUP(B36,データ!$B$3:$L$85,11,FALSE)</f>
        <v>pcs</v>
      </c>
      <c r="E36" s="205">
        <v>24500</v>
      </c>
      <c r="F36" s="404">
        <f>VLOOKUP(B36,データ!$B$3:$C$85,2,FALSE)</f>
        <v>0.224</v>
      </c>
      <c r="G36" s="404"/>
      <c r="H36" s="234">
        <f t="shared" si="1"/>
        <v>5488</v>
      </c>
      <c r="I36" s="235"/>
      <c r="K36" s="93">
        <f>_xlfn.IFNA(VLOOKUP(B36,データ!$B$3:$O$137,12,0),"")</f>
        <v>39169092</v>
      </c>
      <c r="L36" s="93" t="str">
        <f>_xlfn.IFNA(VLOOKUP(B36,データ!$B$3:$O$137,13,0),"")</f>
        <v>Kg</v>
      </c>
      <c r="M36" s="93">
        <f>_xlfn.IFNA(VLOOKUP(B36,データ!$B$3:$D$127,3,FALSE),"")</f>
        <v>23</v>
      </c>
      <c r="N36" s="195">
        <f t="shared" si="2"/>
        <v>563.5</v>
      </c>
      <c r="O36" s="39">
        <f ca="1">SUMIF(INVOICE!$B$33:$C$45,B36,INVOICE!$F$33:$F$45)</f>
        <v>24500</v>
      </c>
      <c r="P36" s="181">
        <f t="shared" ca="1" si="3"/>
        <v>0</v>
      </c>
    </row>
    <row r="37" spans="1:16" ht="17.25" customHeight="1">
      <c r="A37" s="190">
        <f t="shared" si="4"/>
        <v>4</v>
      </c>
      <c r="B37" s="231" t="s">
        <v>249</v>
      </c>
      <c r="C37" s="232"/>
      <c r="D37" s="159" t="str">
        <f>VLOOKUP(B37,データ!$B$3:$L$85,11,FALSE)</f>
        <v>pcs</v>
      </c>
      <c r="E37" s="205">
        <v>11000</v>
      </c>
      <c r="F37" s="385">
        <f>VLOOKUP(B37,データ!$B$3:$C$85,2,FALSE)</f>
        <v>0.23499999999999999</v>
      </c>
      <c r="G37" s="386"/>
      <c r="H37" s="387">
        <f t="shared" ref="H37:H40" si="5">F37*E37</f>
        <v>2585</v>
      </c>
      <c r="I37" s="388"/>
      <c r="K37" s="93">
        <f>_xlfn.IFNA(VLOOKUP(B37,データ!$B$3:$O$137,12,0),"")</f>
        <v>39169092</v>
      </c>
      <c r="L37" s="93" t="str">
        <f>_xlfn.IFNA(VLOOKUP(B37,データ!$B$3:$O$137,13,0),"")</f>
        <v>Kg</v>
      </c>
      <c r="M37" s="93">
        <f>_xlfn.IFNA(VLOOKUP(B37,データ!$B$3:$D$127,3,FALSE),"")</f>
        <v>23.5</v>
      </c>
      <c r="N37" s="195">
        <f t="shared" si="2"/>
        <v>258.5</v>
      </c>
      <c r="O37" s="39">
        <f ca="1">SUMIF(INVOICE!$B$33:$C$45,B37,INVOICE!$F$33:$F$45)</f>
        <v>11000</v>
      </c>
      <c r="P37" s="181">
        <f ca="1">+E37-O37</f>
        <v>0</v>
      </c>
    </row>
    <row r="38" spans="1:16" ht="17.25" customHeight="1">
      <c r="A38" s="190">
        <f t="shared" si="4"/>
        <v>5</v>
      </c>
      <c r="B38" s="231" t="s">
        <v>293</v>
      </c>
      <c r="C38" s="232"/>
      <c r="D38" s="159" t="str">
        <f>VLOOKUP(B38,データ!$B$3:$L$85,11,FALSE)</f>
        <v>pcs</v>
      </c>
      <c r="E38" s="205">
        <v>9000</v>
      </c>
      <c r="F38" s="385">
        <f>VLOOKUP(B38,データ!$B$3:$C$85,2,FALSE)</f>
        <v>0.251</v>
      </c>
      <c r="G38" s="386"/>
      <c r="H38" s="387">
        <f t="shared" si="5"/>
        <v>2259</v>
      </c>
      <c r="I38" s="388"/>
      <c r="K38" s="93">
        <f>_xlfn.IFNA(VLOOKUP(B38,データ!$B$3:$O$137,12,0),"")</f>
        <v>39169092</v>
      </c>
      <c r="L38" s="93" t="str">
        <f>_xlfn.IFNA(VLOOKUP(B38,データ!$B$3:$O$137,13,0),"")</f>
        <v>Kg</v>
      </c>
      <c r="M38" s="93">
        <f>_xlfn.IFNA(VLOOKUP(B38,データ!$B$3:$D$127,3,FALSE),"")</f>
        <v>25</v>
      </c>
      <c r="N38" s="195">
        <f t="shared" si="2"/>
        <v>225</v>
      </c>
      <c r="O38" s="39">
        <f ca="1">SUMIF(INVOICE!$B$33:$C$45,B38,INVOICE!$F$33:$F$45)</f>
        <v>9000</v>
      </c>
      <c r="P38" s="181">
        <f ca="1">+E38-O38</f>
        <v>0</v>
      </c>
    </row>
    <row r="39" spans="1:16" ht="17.25" customHeight="1">
      <c r="A39" s="190">
        <f t="shared" si="4"/>
        <v>6</v>
      </c>
      <c r="B39" s="231" t="s">
        <v>297</v>
      </c>
      <c r="C39" s="232"/>
      <c r="D39" s="159" t="str">
        <f>VLOOKUP(B39,データ!$B$3:$L$85,11,FALSE)</f>
        <v>pcs</v>
      </c>
      <c r="E39" s="205">
        <v>5000</v>
      </c>
      <c r="F39" s="385">
        <f>VLOOKUP(B39,データ!$B$3:$C$85,2,FALSE)</f>
        <v>0.223</v>
      </c>
      <c r="G39" s="386"/>
      <c r="H39" s="387">
        <f t="shared" si="5"/>
        <v>1115</v>
      </c>
      <c r="I39" s="388"/>
      <c r="K39" s="93">
        <f>_xlfn.IFNA(VLOOKUP(B39,データ!$B$3:$O$137,12,0),"")</f>
        <v>39169092</v>
      </c>
      <c r="L39" s="93" t="str">
        <f>_xlfn.IFNA(VLOOKUP(B39,データ!$B$3:$O$137,13,0),"")</f>
        <v>Kg</v>
      </c>
      <c r="M39" s="93">
        <f>_xlfn.IFNA(VLOOKUP(B39,データ!$B$3:$D$127,3,FALSE),"")</f>
        <v>25</v>
      </c>
      <c r="N39" s="195">
        <f t="shared" si="2"/>
        <v>125</v>
      </c>
      <c r="O39" s="39">
        <f ca="1">SUMIF(INVOICE!$B$33:$C$45,B40,INVOICE!$F$33:$F$45)</f>
        <v>6000</v>
      </c>
      <c r="P39" s="181">
        <f ca="1">+E40-O39</f>
        <v>0</v>
      </c>
    </row>
    <row r="40" spans="1:16" ht="17.25" customHeight="1">
      <c r="A40" s="190">
        <f t="shared" si="4"/>
        <v>7</v>
      </c>
      <c r="B40" s="231" t="s">
        <v>296</v>
      </c>
      <c r="C40" s="232"/>
      <c r="D40" s="159" t="str">
        <f>VLOOKUP(B40,データ!$B$3:$L$85,11,FALSE)</f>
        <v>pcs</v>
      </c>
      <c r="E40" s="205">
        <v>6000</v>
      </c>
      <c r="F40" s="385">
        <f>VLOOKUP(B40,データ!$B$3:$C$85,2,FALSE)</f>
        <v>0.21299999999999999</v>
      </c>
      <c r="G40" s="386"/>
      <c r="H40" s="387">
        <f t="shared" si="5"/>
        <v>1278</v>
      </c>
      <c r="I40" s="388"/>
      <c r="K40" s="93">
        <f>_xlfn.IFNA(VLOOKUP(B40,データ!$B$3:$O$137,12,0),"")</f>
        <v>39169092</v>
      </c>
      <c r="L40" s="93" t="str">
        <f>_xlfn.IFNA(VLOOKUP(B40,データ!$B$3:$O$137,13,0),"")</f>
        <v>Kg</v>
      </c>
      <c r="M40" s="93">
        <f>_xlfn.IFNA(VLOOKUP(B40,データ!$B$3:$D$127,3,FALSE),"")</f>
        <v>23.5</v>
      </c>
      <c r="N40" s="195">
        <f t="shared" si="2"/>
        <v>141</v>
      </c>
      <c r="O40" s="39">
        <f ca="1">SUMIF(INVOICE!$B$33:$C$45,#REF!,INVOICE!$F$33:$F$45)</f>
        <v>0</v>
      </c>
      <c r="P40" s="181">
        <f t="shared" ref="P40:P48" ca="1" si="6">+E41-O40</f>
        <v>4000</v>
      </c>
    </row>
    <row r="41" spans="1:16" ht="17.25" customHeight="1">
      <c r="A41" s="190">
        <f t="shared" si="4"/>
        <v>8</v>
      </c>
      <c r="B41" s="231" t="s">
        <v>273</v>
      </c>
      <c r="C41" s="232"/>
      <c r="D41" s="159" t="str">
        <f>VLOOKUP(B41,データ!$B$3:$L$85,11,FALSE)</f>
        <v>m</v>
      </c>
      <c r="E41" s="205">
        <v>4000</v>
      </c>
      <c r="F41" s="385">
        <f>VLOOKUP(B41,データ!$B$3:$C$85,2,FALSE)</f>
        <v>0.61</v>
      </c>
      <c r="G41" s="386"/>
      <c r="H41" s="387">
        <f t="shared" ref="H41:H42" si="7">F41*E41</f>
        <v>2440</v>
      </c>
      <c r="I41" s="388"/>
      <c r="K41" s="93">
        <f>_xlfn.IFNA(VLOOKUP(B41,データ!$B$3:$O$137,12,0),"")</f>
        <v>39169092</v>
      </c>
      <c r="L41" s="93" t="str">
        <f>_xlfn.IFNA(VLOOKUP(B41,データ!$B$3:$O$137,13,0),"")</f>
        <v>Kg</v>
      </c>
      <c r="M41" s="93">
        <f>_xlfn.IFNA(VLOOKUP(B41,データ!$B$3:$D$127,3,FALSE),"")</f>
        <v>78</v>
      </c>
      <c r="N41" s="195">
        <f t="shared" si="2"/>
        <v>312</v>
      </c>
      <c r="O41" s="39">
        <f ca="1">SUMIF(INVOICE!$B$33:$C$45,#REF!,INVOICE!$F$33:$F$45)</f>
        <v>0</v>
      </c>
      <c r="P41" s="181">
        <f t="shared" ca="1" si="6"/>
        <v>240</v>
      </c>
    </row>
    <row r="42" spans="1:16" ht="17.25" customHeight="1">
      <c r="A42" s="190">
        <f t="shared" si="4"/>
        <v>9</v>
      </c>
      <c r="B42" s="231" t="s">
        <v>309</v>
      </c>
      <c r="C42" s="232"/>
      <c r="D42" s="159" t="str">
        <f>VLOOKUP(B42,データ!$B$3:$L$85,11,FALSE)</f>
        <v>pcs</v>
      </c>
      <c r="E42" s="217">
        <v>240</v>
      </c>
      <c r="F42" s="385">
        <f>VLOOKUP(B42,データ!$B$3:$C$85,2,FALSE)</f>
        <v>2.875</v>
      </c>
      <c r="G42" s="386"/>
      <c r="H42" s="387">
        <f t="shared" si="7"/>
        <v>690</v>
      </c>
      <c r="I42" s="388"/>
      <c r="K42" s="93">
        <f>_xlfn.IFNA(VLOOKUP(B42,データ!$B$3:$O$137,12,0),"")</f>
        <v>39169092</v>
      </c>
      <c r="L42" s="93" t="str">
        <f>_xlfn.IFNA(VLOOKUP(B42,データ!$B$3:$O$137,13,0),"")</f>
        <v>Kg</v>
      </c>
      <c r="M42" s="93">
        <f>_xlfn.IFNA(VLOOKUP(B42,データ!$B$3:$D$127,3,FALSE),"")</f>
        <v>691.38</v>
      </c>
      <c r="N42" s="195">
        <f t="shared" si="2"/>
        <v>165.93120000000002</v>
      </c>
      <c r="O42" s="39">
        <f ca="1">SUMIF(INVOICE!$B$33:$C$45,B41,INVOICE!$F$33:$F$45)</f>
        <v>4000</v>
      </c>
      <c r="P42" s="181">
        <f t="shared" ca="1" si="6"/>
        <v>8000</v>
      </c>
    </row>
    <row r="43" spans="1:16" ht="17.25" customHeight="1">
      <c r="A43" s="190">
        <f t="shared" si="4"/>
        <v>10</v>
      </c>
      <c r="B43" s="231" t="s">
        <v>320</v>
      </c>
      <c r="C43" s="232"/>
      <c r="D43" s="159" t="str">
        <f>VLOOKUP(B43,データ!$B$3:$L$85,11,FALSE)</f>
        <v>bag</v>
      </c>
      <c r="E43" s="217">
        <v>12000</v>
      </c>
      <c r="F43" s="385">
        <f>VLOOKUP(B43,データ!$B$3:$C$85,2,FALSE)</f>
        <v>0.2</v>
      </c>
      <c r="G43" s="386"/>
      <c r="H43" s="387">
        <f t="shared" ref="H43" si="8">F43*E43</f>
        <v>2400</v>
      </c>
      <c r="I43" s="388"/>
      <c r="K43" s="93">
        <f>_xlfn.IFNA(VLOOKUP(B43,データ!$B$3:$O$137,12,0),"")</f>
        <v>0</v>
      </c>
      <c r="L43" s="93">
        <f>_xlfn.IFNA(VLOOKUP(B43,データ!$B$3:$O$137,13,0),"")</f>
        <v>0</v>
      </c>
      <c r="M43" s="93">
        <f>_xlfn.IFNA(VLOOKUP(B43,データ!$B$3:$D$127,3,FALSE),"")</f>
        <v>83.3</v>
      </c>
      <c r="N43" s="195" t="b">
        <f t="shared" ref="N43:N48" si="9">IF(L43="kg",M43*E43/1000,AND(IF(L43="PCE",E43)))</f>
        <v>0</v>
      </c>
      <c r="O43" s="39">
        <f ca="1">SUMIF(INVOICE!$B$33:$C$45,B42,INVOICE!$F$33:$F$45)</f>
        <v>240</v>
      </c>
      <c r="P43" s="181">
        <f t="shared" ca="1" si="6"/>
        <v>-233</v>
      </c>
    </row>
    <row r="44" spans="1:16" ht="17.25" customHeight="1">
      <c r="A44" s="190">
        <f t="shared" si="4"/>
        <v>11</v>
      </c>
      <c r="B44" s="231" t="s">
        <v>310</v>
      </c>
      <c r="C44" s="232"/>
      <c r="D44" s="159" t="str">
        <f>VLOOKUP(B44,データ!$B$3:$L$185,11,FALSE)</f>
        <v>pcs</v>
      </c>
      <c r="E44" s="217">
        <v>7</v>
      </c>
      <c r="F44" s="385">
        <f>VLOOKUP(B44,データ!$B$3:$C$185,2,FALSE)</f>
        <v>2.91</v>
      </c>
      <c r="G44" s="386"/>
      <c r="H44" s="387">
        <f t="shared" ref="H44" si="10">F44*E44</f>
        <v>20.37</v>
      </c>
      <c r="I44" s="388"/>
      <c r="K44" s="93">
        <f>_xlfn.IFNA(VLOOKUP(B44,データ!$B$3:$O$137,12,0),"")</f>
        <v>39169092</v>
      </c>
      <c r="L44" s="93" t="str">
        <f>_xlfn.IFNA(VLOOKUP(B44,データ!$B$3:$O$137,13,0),"")</f>
        <v>Kg</v>
      </c>
      <c r="M44" s="93">
        <f>_xlfn.IFNA(VLOOKUP(B44,データ!$B$3:$D$127,3,FALSE),"")</f>
        <v>435.04477611940297</v>
      </c>
      <c r="N44" s="195">
        <f t="shared" si="9"/>
        <v>3.0453134328358211</v>
      </c>
      <c r="O44" s="39">
        <f ca="1">SUMIF(INVOICE!$B$33:$C$45,B43,INVOICE!$F$33:$F$45)</f>
        <v>12000</v>
      </c>
      <c r="P44" s="181">
        <f t="shared" ca="1" si="6"/>
        <v>-12000</v>
      </c>
    </row>
    <row r="45" spans="1:16" ht="17.25" customHeight="1">
      <c r="A45" s="190">
        <f t="shared" si="4"/>
        <v>12</v>
      </c>
      <c r="B45" s="231"/>
      <c r="C45" s="232"/>
      <c r="D45" s="159"/>
      <c r="E45" s="205"/>
      <c r="F45" s="385"/>
      <c r="G45" s="386"/>
      <c r="H45" s="387"/>
      <c r="I45" s="388"/>
      <c r="K45" s="93" t="str">
        <f>_xlfn.IFNA(VLOOKUP(B45,データ!$B$3:$O$137,12,0),"")</f>
        <v/>
      </c>
      <c r="L45" s="93" t="str">
        <f>_xlfn.IFNA(VLOOKUP(B45,データ!$B$3:$O$137,13,0),"")</f>
        <v/>
      </c>
      <c r="M45" s="93" t="str">
        <f>_xlfn.IFNA(VLOOKUP(B45,データ!$B$3:$D$127,3,FALSE),"")</f>
        <v/>
      </c>
      <c r="N45" s="195" t="b">
        <f t="shared" si="9"/>
        <v>0</v>
      </c>
      <c r="O45" s="39">
        <f ca="1">SUMIF(INVOICE!$B$33:$C$45,B44,INVOICE!$F$33:$F$45)</f>
        <v>7</v>
      </c>
      <c r="P45" s="181">
        <f t="shared" ca="1" si="6"/>
        <v>-7</v>
      </c>
    </row>
    <row r="46" spans="1:16" ht="17.25" customHeight="1">
      <c r="A46" s="190">
        <f t="shared" si="4"/>
        <v>13</v>
      </c>
      <c r="B46" s="231"/>
      <c r="C46" s="232"/>
      <c r="D46" s="159"/>
      <c r="E46" s="205"/>
      <c r="F46" s="385"/>
      <c r="G46" s="386"/>
      <c r="H46" s="387"/>
      <c r="I46" s="388"/>
      <c r="K46" s="93" t="str">
        <f>_xlfn.IFNA(VLOOKUP(B46,データ!$B$3:$O$137,12,0),"")</f>
        <v/>
      </c>
      <c r="L46" s="93" t="str">
        <f>_xlfn.IFNA(VLOOKUP(B46,データ!$B$3:$O$137,13,0),"")</f>
        <v/>
      </c>
      <c r="M46" s="93" t="str">
        <f>_xlfn.IFNA(VLOOKUP(B46,データ!$B$3:$D$127,3,FALSE),"")</f>
        <v/>
      </c>
      <c r="N46" s="195" t="b">
        <f t="shared" si="9"/>
        <v>0</v>
      </c>
      <c r="O46" s="39">
        <f ca="1">SUMIF(INVOICE!$B$33:$C$45,B45,INVOICE!$F$33:$F$45)</f>
        <v>0</v>
      </c>
      <c r="P46" s="181">
        <f t="shared" ca="1" si="6"/>
        <v>0</v>
      </c>
    </row>
    <row r="47" spans="1:16" ht="17.25" customHeight="1">
      <c r="A47" s="190">
        <f t="shared" si="4"/>
        <v>14</v>
      </c>
      <c r="B47" s="231"/>
      <c r="C47" s="232"/>
      <c r="D47" s="159"/>
      <c r="E47" s="205"/>
      <c r="F47" s="385"/>
      <c r="G47" s="386"/>
      <c r="H47" s="387"/>
      <c r="I47" s="388"/>
      <c r="K47" s="93" t="str">
        <f>_xlfn.IFNA(VLOOKUP(B47,データ!$B$3:$O$137,12,0),"")</f>
        <v/>
      </c>
      <c r="L47" s="93" t="str">
        <f>_xlfn.IFNA(VLOOKUP(B47,データ!$B$3:$O$137,13,0),"")</f>
        <v/>
      </c>
      <c r="M47" s="93" t="str">
        <f>_xlfn.IFNA(VLOOKUP(B47,データ!$B$3:$D$127,3,FALSE),"")</f>
        <v/>
      </c>
      <c r="N47" s="195" t="b">
        <f t="shared" si="9"/>
        <v>0</v>
      </c>
      <c r="O47" s="39">
        <f ca="1">SUMIF(INVOICE!$B$33:$C$45,B46,INVOICE!$F$33:$F$45)</f>
        <v>0</v>
      </c>
      <c r="P47" s="181">
        <f t="shared" ca="1" si="6"/>
        <v>0</v>
      </c>
    </row>
    <row r="48" spans="1:16" ht="17.25" customHeight="1">
      <c r="A48" s="190">
        <f t="shared" si="4"/>
        <v>15</v>
      </c>
      <c r="B48" s="231"/>
      <c r="C48" s="232"/>
      <c r="D48" s="159"/>
      <c r="E48" s="205"/>
      <c r="F48" s="385"/>
      <c r="G48" s="386"/>
      <c r="H48" s="387"/>
      <c r="I48" s="388"/>
      <c r="K48" s="93" t="str">
        <f>_xlfn.IFNA(VLOOKUP(B48,データ!$B$3:$O$137,12,0),"")</f>
        <v/>
      </c>
      <c r="L48" s="93" t="str">
        <f>_xlfn.IFNA(VLOOKUP(B48,データ!$B$3:$O$137,13,0),"")</f>
        <v/>
      </c>
      <c r="M48" s="93" t="str">
        <f>_xlfn.IFNA(VLOOKUP(B48,データ!$B$3:$D$127,3,FALSE),"")</f>
        <v/>
      </c>
      <c r="N48" s="195" t="b">
        <f t="shared" si="9"/>
        <v>0</v>
      </c>
      <c r="O48" s="39">
        <f ca="1">SUMIF(INVOICE!$B$33:$C$45,B47,INVOICE!$F$33:$F$45)</f>
        <v>0</v>
      </c>
      <c r="P48" s="181">
        <f t="shared" ca="1" si="6"/>
        <v>0</v>
      </c>
    </row>
    <row r="49" spans="1:10" ht="17.25" customHeight="1" thickBot="1">
      <c r="A49" s="202" t="s">
        <v>34</v>
      </c>
      <c r="B49" s="203"/>
      <c r="C49" s="203"/>
      <c r="D49" s="203"/>
      <c r="E49" s="203"/>
      <c r="F49" s="203"/>
      <c r="G49" s="204"/>
      <c r="H49" s="389">
        <f>SUM(H34:I48)</f>
        <v>23627.37</v>
      </c>
      <c r="I49" s="390"/>
      <c r="J49" s="13"/>
    </row>
    <row r="50" spans="1:10" ht="10.5" customHeight="1"/>
    <row r="51" spans="1:10" ht="29.3" customHeight="1">
      <c r="A51" s="300" t="s">
        <v>35</v>
      </c>
      <c r="B51" s="300"/>
      <c r="C51" s="300"/>
      <c r="F51" s="299" t="s">
        <v>36</v>
      </c>
      <c r="G51" s="299"/>
      <c r="H51" s="299"/>
      <c r="I51" s="76"/>
    </row>
    <row r="52" spans="1:10" ht="20.05" customHeight="1">
      <c r="A52" s="174" t="s">
        <v>109</v>
      </c>
      <c r="B52" s="174"/>
      <c r="C52" s="174"/>
      <c r="D52" s="34"/>
      <c r="E52" s="34"/>
      <c r="F52" s="34"/>
      <c r="G52" s="34"/>
      <c r="H52" s="9"/>
    </row>
    <row r="53" spans="1:10" ht="20.05" customHeight="1">
      <c r="A53" s="160"/>
      <c r="B53" s="160"/>
      <c r="C53" s="160"/>
      <c r="D53" s="34"/>
      <c r="E53" s="34"/>
      <c r="F53" s="34"/>
      <c r="G53" s="34"/>
    </row>
    <row r="54" spans="1:10" ht="20.05" customHeight="1">
      <c r="A54" s="172"/>
      <c r="B54" s="172"/>
      <c r="C54" s="172"/>
      <c r="D54" s="34"/>
      <c r="E54" s="34"/>
      <c r="F54" s="34"/>
      <c r="G54" s="34"/>
    </row>
    <row r="55" spans="1:10" ht="20.05" customHeight="1">
      <c r="A55" s="160"/>
      <c r="B55" s="160"/>
      <c r="C55" s="160"/>
      <c r="D55" s="34"/>
      <c r="E55" s="34"/>
      <c r="F55" s="34"/>
      <c r="G55" s="34"/>
    </row>
  </sheetData>
  <dataConsolidate/>
  <mergeCells count="75">
    <mergeCell ref="H30:I33"/>
    <mergeCell ref="H36:I36"/>
    <mergeCell ref="H43:I43"/>
    <mergeCell ref="F37:G37"/>
    <mergeCell ref="H37:I37"/>
    <mergeCell ref="H34:I34"/>
    <mergeCell ref="H35:I35"/>
    <mergeCell ref="F35:G35"/>
    <mergeCell ref="F34:G34"/>
    <mergeCell ref="B30:C33"/>
    <mergeCell ref="D30:D33"/>
    <mergeCell ref="F44:G44"/>
    <mergeCell ref="F36:G36"/>
    <mergeCell ref="B43:C43"/>
    <mergeCell ref="F43:G43"/>
    <mergeCell ref="F30:G33"/>
    <mergeCell ref="E30:E33"/>
    <mergeCell ref="F15:I19"/>
    <mergeCell ref="A22:C22"/>
    <mergeCell ref="B37:C37"/>
    <mergeCell ref="D22:E22"/>
    <mergeCell ref="A23:C23"/>
    <mergeCell ref="D23:E23"/>
    <mergeCell ref="C24:D24"/>
    <mergeCell ref="A25:D25"/>
    <mergeCell ref="E26:E28"/>
    <mergeCell ref="B36:C36"/>
    <mergeCell ref="B35:C35"/>
    <mergeCell ref="B34:C34"/>
    <mergeCell ref="A26:D26"/>
    <mergeCell ref="A27:D27"/>
    <mergeCell ref="A28:D28"/>
    <mergeCell ref="A30:A33"/>
    <mergeCell ref="H13:I13"/>
    <mergeCell ref="D14:E14"/>
    <mergeCell ref="F14:I14"/>
    <mergeCell ref="D13:E13"/>
    <mergeCell ref="F13:G13"/>
    <mergeCell ref="A1:J4"/>
    <mergeCell ref="F5:J5"/>
    <mergeCell ref="F8:I10"/>
    <mergeCell ref="F11:G12"/>
    <mergeCell ref="H11:I12"/>
    <mergeCell ref="H49:I49"/>
    <mergeCell ref="H42:I42"/>
    <mergeCell ref="B39:C39"/>
    <mergeCell ref="F39:G39"/>
    <mergeCell ref="H39:I39"/>
    <mergeCell ref="H41:I41"/>
    <mergeCell ref="H40:I40"/>
    <mergeCell ref="F40:G40"/>
    <mergeCell ref="B40:C40"/>
    <mergeCell ref="B48:C48"/>
    <mergeCell ref="F45:G45"/>
    <mergeCell ref="F42:G42"/>
    <mergeCell ref="H44:I44"/>
    <mergeCell ref="H47:I47"/>
    <mergeCell ref="B45:C45"/>
    <mergeCell ref="B44:C44"/>
    <mergeCell ref="A51:C51"/>
    <mergeCell ref="F41:G41"/>
    <mergeCell ref="B41:C41"/>
    <mergeCell ref="H38:I38"/>
    <mergeCell ref="F38:G38"/>
    <mergeCell ref="B38:C38"/>
    <mergeCell ref="F51:H51"/>
    <mergeCell ref="H48:I48"/>
    <mergeCell ref="B42:C42"/>
    <mergeCell ref="H45:I45"/>
    <mergeCell ref="F48:G48"/>
    <mergeCell ref="F46:G46"/>
    <mergeCell ref="H46:I46"/>
    <mergeCell ref="F47:G47"/>
    <mergeCell ref="B46:C46"/>
    <mergeCell ref="B47:C47"/>
  </mergeCells>
  <phoneticPr fontId="56" type="noConversion"/>
  <pageMargins left="0.28000000000000003" right="0.16" top="0.16" bottom="0.16" header="0.17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データ!$B$3:$B$194</xm:f>
          </x14:formula1>
          <xm:sqref>C40 B42:C48 B40:B41</xm:sqref>
        </x14:dataValidation>
        <x14:dataValidation type="list" allowBlank="1" showInputMessage="1" showErrorMessage="1" xr:uid="{00000000-0002-0000-0200-000000000000}">
          <x14:formula1>
            <xm:f>データ!$B$3:$B$85</xm:f>
          </x14:formula1>
          <xm:sqref>B34:C39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4"/>
  <sheetViews>
    <sheetView topLeftCell="A39" workbookViewId="0">
      <selection activeCell="E48" sqref="E48"/>
    </sheetView>
  </sheetViews>
  <sheetFormatPr defaultColWidth="9" defaultRowHeight="14.4"/>
  <cols>
    <col min="1" max="1" width="8.33203125" style="21" customWidth="1"/>
    <col min="2" max="2" width="9" style="21"/>
    <col min="3" max="3" width="34.109375" style="21" customWidth="1"/>
    <col min="4" max="4" width="11.21875" style="21" customWidth="1"/>
    <col min="5" max="5" width="12.88671875" style="21" customWidth="1"/>
    <col min="6" max="6" width="9.21875" style="21" customWidth="1"/>
    <col min="7" max="7" width="8.33203125" style="21" customWidth="1"/>
    <col min="8" max="8" width="11.21875" style="21" customWidth="1"/>
    <col min="9" max="9" width="15.109375" style="21" customWidth="1"/>
    <col min="10" max="10" width="14.6640625" style="21" customWidth="1"/>
    <col min="11" max="11" width="9" style="21"/>
    <col min="12" max="12" width="9.6640625" style="21" bestFit="1" customWidth="1"/>
    <col min="13" max="13" width="9" style="21"/>
    <col min="14" max="14" width="10.6640625" style="21" bestFit="1" customWidth="1"/>
    <col min="15" max="16" width="9" style="21"/>
    <col min="17" max="17" width="10" style="21" bestFit="1" customWidth="1"/>
    <col min="18" max="16384" width="9" style="21"/>
  </cols>
  <sheetData>
    <row r="1" spans="1:10" ht="15.05" customHeight="1">
      <c r="A1" s="342" t="s">
        <v>37</v>
      </c>
      <c r="B1" s="342"/>
      <c r="C1" s="342"/>
      <c r="D1" s="342"/>
      <c r="E1" s="342"/>
      <c r="F1" s="342"/>
      <c r="G1" s="342"/>
      <c r="H1" s="342"/>
      <c r="I1" s="342"/>
      <c r="J1" s="342"/>
    </row>
    <row r="2" spans="1:10" ht="15.05" customHeight="1">
      <c r="A2" s="342"/>
      <c r="B2" s="342"/>
      <c r="C2" s="342"/>
      <c r="D2" s="342"/>
      <c r="E2" s="342"/>
      <c r="F2" s="342"/>
      <c r="G2" s="342"/>
      <c r="H2" s="342"/>
      <c r="I2" s="342"/>
      <c r="J2" s="342"/>
    </row>
    <row r="3" spans="1:10" ht="15.05" customHeight="1">
      <c r="A3" s="342"/>
      <c r="B3" s="342"/>
      <c r="C3" s="342"/>
      <c r="D3" s="342"/>
      <c r="E3" s="342"/>
      <c r="F3" s="342"/>
      <c r="G3" s="342"/>
      <c r="H3" s="342"/>
      <c r="I3" s="342"/>
      <c r="J3" s="342"/>
    </row>
    <row r="4" spans="1:10" ht="15.05" customHeight="1">
      <c r="A4" s="342"/>
      <c r="B4" s="342"/>
      <c r="C4" s="342"/>
      <c r="D4" s="342"/>
      <c r="E4" s="342"/>
      <c r="F4" s="342"/>
      <c r="G4" s="342"/>
      <c r="H4" s="342"/>
      <c r="I4" s="342"/>
      <c r="J4" s="342"/>
    </row>
    <row r="5" spans="1:10">
      <c r="G5" s="364" t="str">
        <f>INVOICE!G5</f>
        <v>インボイス作成日（Date): 5/12/2025</v>
      </c>
      <c r="H5" s="364"/>
      <c r="I5" s="364"/>
      <c r="J5" s="364"/>
    </row>
    <row r="7" spans="1:10" ht="9.6999999999999993" customHeight="1" thickBot="1"/>
    <row r="8" spans="1:10" ht="14.25" customHeight="1">
      <c r="A8" s="23" t="s">
        <v>1</v>
      </c>
      <c r="B8" s="24"/>
      <c r="C8" s="24"/>
      <c r="D8" s="24"/>
      <c r="E8" s="24"/>
      <c r="F8" s="46"/>
      <c r="G8" s="259" t="str">
        <f>INVOICE!G8</f>
        <v>Invoice No
MASUDA VN-JP 019/25</v>
      </c>
      <c r="H8" s="260"/>
      <c r="I8" s="260"/>
      <c r="J8" s="261"/>
    </row>
    <row r="9" spans="1:10" ht="9.6999999999999993" customHeight="1">
      <c r="A9" s="25"/>
      <c r="F9" s="44"/>
      <c r="G9" s="262"/>
      <c r="H9" s="263"/>
      <c r="I9" s="263"/>
      <c r="J9" s="264"/>
    </row>
    <row r="10" spans="1:10" ht="12.7" customHeight="1">
      <c r="A10" s="87" t="s">
        <v>2</v>
      </c>
      <c r="B10" s="2"/>
      <c r="C10" s="2"/>
      <c r="D10" s="2"/>
      <c r="E10" s="43"/>
      <c r="F10" s="44" t="s">
        <v>127</v>
      </c>
      <c r="G10" s="262"/>
      <c r="H10" s="263"/>
      <c r="I10" s="263"/>
      <c r="J10" s="264"/>
    </row>
    <row r="11" spans="1:10" ht="15.05" customHeight="1">
      <c r="A11" s="85" t="s">
        <v>3</v>
      </c>
      <c r="B11" s="1"/>
      <c r="C11" s="1"/>
      <c r="D11" s="2"/>
      <c r="E11" s="19"/>
      <c r="F11" s="44"/>
      <c r="G11" s="379" t="s">
        <v>4</v>
      </c>
      <c r="H11" s="379"/>
      <c r="I11" s="377" t="s">
        <v>5</v>
      </c>
      <c r="J11" s="378"/>
    </row>
    <row r="12" spans="1:10">
      <c r="A12" s="85" t="s">
        <v>6</v>
      </c>
      <c r="B12" s="1"/>
      <c r="C12" s="1"/>
      <c r="D12" s="2"/>
      <c r="E12" s="19"/>
      <c r="F12" s="44"/>
      <c r="G12" s="379"/>
      <c r="H12" s="379"/>
      <c r="I12" s="377"/>
      <c r="J12" s="378"/>
    </row>
    <row r="13" spans="1:10">
      <c r="A13" s="85" t="s">
        <v>7</v>
      </c>
      <c r="B13" s="1"/>
      <c r="C13" s="1"/>
      <c r="D13" s="74"/>
      <c r="E13" s="162"/>
      <c r="F13" s="44"/>
      <c r="G13" s="380" t="s">
        <v>8</v>
      </c>
      <c r="H13" s="380"/>
      <c r="I13" s="380" t="s">
        <v>38</v>
      </c>
      <c r="J13" s="381"/>
    </row>
    <row r="14" spans="1:10">
      <c r="A14" s="85" t="s">
        <v>10</v>
      </c>
      <c r="B14" s="1"/>
      <c r="D14" s="42"/>
      <c r="E14" s="73"/>
      <c r="F14" s="44"/>
      <c r="G14" s="366" t="s">
        <v>11</v>
      </c>
      <c r="H14" s="366"/>
      <c r="I14" s="366"/>
      <c r="J14" s="367"/>
    </row>
    <row r="15" spans="1:10" ht="15.05" customHeight="1">
      <c r="A15" s="85"/>
      <c r="B15" s="1"/>
      <c r="D15" s="73"/>
      <c r="E15" s="73"/>
      <c r="F15" s="44"/>
      <c r="G15" s="344" t="s">
        <v>12</v>
      </c>
      <c r="H15" s="345"/>
      <c r="I15" s="345"/>
      <c r="J15" s="346"/>
    </row>
    <row r="16" spans="1:10" ht="17.25" customHeight="1">
      <c r="A16" s="26"/>
      <c r="B16" s="27"/>
      <c r="C16" s="27"/>
      <c r="D16" s="27"/>
      <c r="E16" s="27"/>
      <c r="F16" s="45"/>
      <c r="G16" s="344"/>
      <c r="H16" s="345"/>
      <c r="I16" s="345"/>
      <c r="J16" s="346"/>
    </row>
    <row r="17" spans="1:17">
      <c r="A17" s="28" t="s">
        <v>13</v>
      </c>
      <c r="B17" s="29"/>
      <c r="C17" s="29"/>
      <c r="D17" s="29"/>
      <c r="E17" s="29"/>
      <c r="F17" s="44"/>
      <c r="G17" s="347"/>
      <c r="H17" s="348"/>
      <c r="I17" s="348"/>
      <c r="J17" s="349"/>
    </row>
    <row r="18" spans="1:17" ht="15.05" hidden="1" customHeight="1">
      <c r="A18" s="30"/>
      <c r="F18" s="41"/>
      <c r="G18" s="27"/>
      <c r="H18" s="27"/>
      <c r="I18" s="40"/>
      <c r="J18" s="31"/>
    </row>
    <row r="19" spans="1:17" ht="5.95" customHeight="1">
      <c r="A19" s="30"/>
      <c r="F19" s="44"/>
      <c r="I19" s="29"/>
      <c r="J19" s="31"/>
    </row>
    <row r="20" spans="1:17" ht="17.55">
      <c r="A20" s="87" t="s">
        <v>39</v>
      </c>
      <c r="B20" s="1"/>
      <c r="C20" s="1"/>
      <c r="F20" s="44"/>
      <c r="G20" s="21" t="s">
        <v>40</v>
      </c>
      <c r="J20" s="31"/>
    </row>
    <row r="21" spans="1:17">
      <c r="A21" s="85" t="s">
        <v>41</v>
      </c>
      <c r="B21" s="1"/>
      <c r="C21" s="1"/>
      <c r="F21" s="44"/>
      <c r="J21" s="31"/>
    </row>
    <row r="22" spans="1:17">
      <c r="A22" s="85" t="s">
        <v>42</v>
      </c>
      <c r="B22" s="1"/>
      <c r="C22" s="1"/>
      <c r="F22" s="44"/>
      <c r="G22" s="94" t="s">
        <v>19</v>
      </c>
      <c r="H22" t="s">
        <v>20</v>
      </c>
      <c r="J22" s="31"/>
    </row>
    <row r="23" spans="1:17">
      <c r="A23" s="229" t="s">
        <v>43</v>
      </c>
      <c r="B23" s="230"/>
      <c r="C23" s="230"/>
      <c r="D23" s="74"/>
      <c r="E23" s="74"/>
      <c r="F23" s="44"/>
      <c r="G23" s="93"/>
      <c r="H23" t="s">
        <v>22</v>
      </c>
      <c r="J23" s="31"/>
    </row>
    <row r="24" spans="1:17">
      <c r="A24" s="352" t="s">
        <v>44</v>
      </c>
      <c r="B24" s="353"/>
      <c r="C24" s="353"/>
      <c r="D24" s="74"/>
      <c r="E24" s="162"/>
      <c r="F24" s="44"/>
      <c r="G24"/>
      <c r="H24"/>
      <c r="J24" s="31"/>
    </row>
    <row r="25" spans="1:17" ht="12.7" customHeight="1">
      <c r="A25" s="35"/>
      <c r="B25" s="36"/>
      <c r="C25" s="236"/>
      <c r="D25" s="236"/>
      <c r="E25" s="27"/>
      <c r="F25" s="45"/>
      <c r="G25" s="93"/>
      <c r="H25" t="s">
        <v>24</v>
      </c>
      <c r="J25" s="31"/>
    </row>
    <row r="26" spans="1:17">
      <c r="A26" s="419" t="s">
        <v>95</v>
      </c>
      <c r="B26" s="420"/>
      <c r="C26" s="420"/>
      <c r="D26" s="421"/>
      <c r="E26" s="422" t="s">
        <v>96</v>
      </c>
      <c r="F26" s="423"/>
      <c r="G26" s="93"/>
      <c r="H26" t="s">
        <v>25</v>
      </c>
      <c r="J26" s="31"/>
    </row>
    <row r="27" spans="1:17" ht="15.05" customHeight="1">
      <c r="A27" s="394" t="s">
        <v>97</v>
      </c>
      <c r="B27" s="395"/>
      <c r="C27" s="395"/>
      <c r="D27" s="396"/>
      <c r="E27" s="424" t="s">
        <v>98</v>
      </c>
      <c r="F27" s="425"/>
      <c r="G27" s="93"/>
      <c r="H27" t="s">
        <v>26</v>
      </c>
      <c r="J27" s="31"/>
    </row>
    <row r="28" spans="1:17">
      <c r="A28" s="397" t="s">
        <v>99</v>
      </c>
      <c r="B28" s="398"/>
      <c r="C28" s="398"/>
      <c r="D28" s="399"/>
      <c r="E28" s="249"/>
      <c r="F28" s="250"/>
      <c r="J28" s="31"/>
    </row>
    <row r="29" spans="1:17" ht="15.05" thickBot="1">
      <c r="A29" s="400" t="s">
        <v>100</v>
      </c>
      <c r="B29" s="401"/>
      <c r="C29" s="401"/>
      <c r="D29" s="402"/>
      <c r="E29" s="426"/>
      <c r="F29" s="427"/>
      <c r="G29" s="22"/>
      <c r="H29" s="22"/>
      <c r="I29" s="22"/>
      <c r="J29" s="32"/>
    </row>
    <row r="30" spans="1:17" ht="9.6999999999999993" customHeight="1" thickBot="1">
      <c r="A30" s="160"/>
      <c r="B30" s="160"/>
      <c r="C30" s="160"/>
      <c r="D30" s="160"/>
      <c r="E30" s="161"/>
    </row>
    <row r="31" spans="1:17" ht="15.05" customHeight="1">
      <c r="A31" s="287" t="s">
        <v>27</v>
      </c>
      <c r="B31" s="247" t="s">
        <v>28</v>
      </c>
      <c r="C31" s="248"/>
      <c r="D31" s="296" t="s">
        <v>29</v>
      </c>
      <c r="E31" s="290" t="s">
        <v>30</v>
      </c>
      <c r="F31" s="257" t="s">
        <v>45</v>
      </c>
      <c r="G31" s="248"/>
      <c r="H31" s="251" t="s">
        <v>46</v>
      </c>
      <c r="I31" s="257" t="s">
        <v>47</v>
      </c>
      <c r="J31" s="428" t="s">
        <v>48</v>
      </c>
    </row>
    <row r="32" spans="1:17">
      <c r="A32" s="354"/>
      <c r="B32" s="249"/>
      <c r="C32" s="250"/>
      <c r="D32" s="232"/>
      <c r="E32" s="292"/>
      <c r="F32" s="258"/>
      <c r="G32" s="250"/>
      <c r="H32" s="252"/>
      <c r="I32" s="338"/>
      <c r="J32" s="293"/>
      <c r="K32" s="67"/>
      <c r="L32" s="67"/>
      <c r="M32" s="67"/>
      <c r="N32" s="67"/>
      <c r="O32" s="67"/>
      <c r="P32" s="67"/>
      <c r="Q32" s="67"/>
    </row>
    <row r="33" spans="1:17">
      <c r="A33" s="354"/>
      <c r="B33" s="249"/>
      <c r="C33" s="250"/>
      <c r="D33" s="232"/>
      <c r="E33" s="292"/>
      <c r="F33" s="258"/>
      <c r="G33" s="250"/>
      <c r="H33" s="252"/>
      <c r="I33" s="338"/>
      <c r="J33" s="293"/>
      <c r="K33" s="67"/>
      <c r="L33" s="68"/>
      <c r="M33" s="69"/>
      <c r="N33" s="70"/>
      <c r="O33" s="71"/>
      <c r="P33" s="71"/>
      <c r="Q33" s="71"/>
    </row>
    <row r="34" spans="1:17">
      <c r="A34" s="355"/>
      <c r="B34" s="285"/>
      <c r="C34" s="403"/>
      <c r="D34" s="343"/>
      <c r="E34" s="362"/>
      <c r="F34" s="258"/>
      <c r="G34" s="250"/>
      <c r="H34" s="363"/>
      <c r="I34" s="429"/>
      <c r="J34" s="293"/>
      <c r="K34" s="67"/>
      <c r="L34" s="102" t="s">
        <v>49</v>
      </c>
      <c r="M34" s="103" t="s">
        <v>50</v>
      </c>
      <c r="N34" s="104" t="s">
        <v>51</v>
      </c>
      <c r="O34" s="105" t="s">
        <v>52</v>
      </c>
      <c r="P34" s="71"/>
      <c r="Q34" s="71"/>
    </row>
    <row r="35" spans="1:17" ht="21.8" customHeight="1">
      <c r="A35" s="163">
        <v>1</v>
      </c>
      <c r="B35" s="292" t="str">
        <f>'IV tong'!B34:C34</f>
        <v>PUROTEKUTA 55788-60110</v>
      </c>
      <c r="C35" s="292"/>
      <c r="D35" s="159" t="str">
        <f>'IV tong'!D34</f>
        <v>pcs</v>
      </c>
      <c r="E35" s="159">
        <f>'IV tong'!E34</f>
        <v>13000</v>
      </c>
      <c r="F35" s="409">
        <f>VLOOKUP(B35,データ!$B$3:$E$85,4,FALSE)</f>
        <v>500</v>
      </c>
      <c r="G35" s="409"/>
      <c r="H35" s="106">
        <f>E35/F35</f>
        <v>26</v>
      </c>
      <c r="I35" s="411">
        <v>5</v>
      </c>
      <c r="J35" s="168">
        <f>M35+N35+O35</f>
        <v>351</v>
      </c>
      <c r="K35" s="21" t="s">
        <v>54</v>
      </c>
      <c r="L35" s="102">
        <f>VLOOKUP(B35,データ!$B$3:$D$89,3,FALSE)</f>
        <v>25</v>
      </c>
      <c r="M35" s="189">
        <f t="shared" ref="M35" si="0">E35*L35/1000</f>
        <v>325</v>
      </c>
      <c r="N35" s="105"/>
      <c r="O35" s="102">
        <f t="shared" ref="O35" si="1">H35*1</f>
        <v>26</v>
      </c>
    </row>
    <row r="36" spans="1:17" ht="21.8" customHeight="1">
      <c r="A36" s="163">
        <f>A35+1</f>
        <v>2</v>
      </c>
      <c r="B36" s="292" t="str">
        <f>'IV tong'!B35:C35</f>
        <v>PUROTEKUTA 55788-16110</v>
      </c>
      <c r="C36" s="292"/>
      <c r="D36" s="159" t="str">
        <f>'IV tong'!D35</f>
        <v>pcs</v>
      </c>
      <c r="E36" s="159">
        <f>'IV tong'!E35</f>
        <v>11000</v>
      </c>
      <c r="F36" s="409">
        <f>VLOOKUP(B36,データ!$B$3:$E$85,4,FALSE)</f>
        <v>500</v>
      </c>
      <c r="G36" s="409"/>
      <c r="H36" s="106">
        <f t="shared" ref="H36:H44" si="2">E36/F36</f>
        <v>22</v>
      </c>
      <c r="I36" s="412"/>
      <c r="J36" s="168">
        <f t="shared" ref="J36:J43" si="3">M36+N36+O36</f>
        <v>297</v>
      </c>
      <c r="L36" s="102">
        <f>VLOOKUP(B36,データ!$B$3:$D$89,3,FALSE)</f>
        <v>25</v>
      </c>
      <c r="M36" s="189">
        <f t="shared" ref="M36:M40" si="4">E36*L36/1000</f>
        <v>275</v>
      </c>
      <c r="N36" s="105"/>
      <c r="O36" s="102">
        <f t="shared" ref="O36:O40" si="5">H36*1</f>
        <v>22</v>
      </c>
    </row>
    <row r="37" spans="1:17" ht="21.8" customHeight="1">
      <c r="A37" s="163">
        <f t="shared" ref="A37:A46" si="6">A36+1</f>
        <v>3</v>
      </c>
      <c r="B37" s="292" t="str">
        <f>'IV tong'!B36:C36</f>
        <v>PUROTEKUTA 55788-K0060</v>
      </c>
      <c r="C37" s="292"/>
      <c r="D37" s="159" t="str">
        <f>'IV tong'!D36</f>
        <v>pcs</v>
      </c>
      <c r="E37" s="159">
        <f>'IV tong'!E36</f>
        <v>24500</v>
      </c>
      <c r="F37" s="409">
        <f>VLOOKUP(B37,データ!$B$3:$E$85,4,FALSE)</f>
        <v>500</v>
      </c>
      <c r="G37" s="409"/>
      <c r="H37" s="106">
        <f t="shared" si="2"/>
        <v>49</v>
      </c>
      <c r="I37" s="412"/>
      <c r="J37" s="168">
        <f t="shared" si="3"/>
        <v>612.5</v>
      </c>
      <c r="K37" s="21" t="s">
        <v>247</v>
      </c>
      <c r="L37" s="102">
        <f>VLOOKUP(B37,データ!$B$3:$D$89,3,FALSE)</f>
        <v>23</v>
      </c>
      <c r="M37" s="189">
        <f t="shared" si="4"/>
        <v>563.5</v>
      </c>
      <c r="N37" s="105"/>
      <c r="O37" s="102">
        <f t="shared" si="5"/>
        <v>49</v>
      </c>
    </row>
    <row r="38" spans="1:17" ht="21.8" customHeight="1">
      <c r="A38" s="163">
        <f t="shared" si="6"/>
        <v>4</v>
      </c>
      <c r="B38" s="292" t="str">
        <f>'IV tong'!B37:C37</f>
        <v>PUROTEKUTA 2A4P1-022G</v>
      </c>
      <c r="C38" s="292"/>
      <c r="D38" s="159" t="str">
        <f>'IV tong'!D37</f>
        <v>pcs</v>
      </c>
      <c r="E38" s="159">
        <f>'IV tong'!E37</f>
        <v>11000</v>
      </c>
      <c r="F38" s="409">
        <f>VLOOKUP(B38,データ!$B$3:$E$85,4,FALSE)</f>
        <v>500</v>
      </c>
      <c r="G38" s="409"/>
      <c r="H38" s="106">
        <f t="shared" si="2"/>
        <v>22</v>
      </c>
      <c r="I38" s="412"/>
      <c r="J38" s="168">
        <f t="shared" si="3"/>
        <v>280.5</v>
      </c>
      <c r="K38" s="21" t="s">
        <v>53</v>
      </c>
      <c r="L38" s="102">
        <f>VLOOKUP(B38,データ!$B$3:$D$89,3,FALSE)</f>
        <v>23.5</v>
      </c>
      <c r="M38" s="189">
        <f t="shared" si="4"/>
        <v>258.5</v>
      </c>
      <c r="N38" s="105"/>
      <c r="O38" s="102">
        <f t="shared" si="5"/>
        <v>22</v>
      </c>
    </row>
    <row r="39" spans="1:17" ht="21.8" customHeight="1">
      <c r="A39" s="163">
        <f t="shared" si="6"/>
        <v>5</v>
      </c>
      <c r="B39" s="292" t="str">
        <f>'IV tong'!B38:C38</f>
        <v>PUROTEKUTA 55788-48090</v>
      </c>
      <c r="C39" s="292"/>
      <c r="D39" s="159" t="str">
        <f>'IV tong'!D38</f>
        <v>pcs</v>
      </c>
      <c r="E39" s="159">
        <f>'IV tong'!E38</f>
        <v>9000</v>
      </c>
      <c r="F39" s="409">
        <f>VLOOKUP(B39,データ!$B$3:$E$85,4,FALSE)</f>
        <v>500</v>
      </c>
      <c r="G39" s="409"/>
      <c r="H39" s="106">
        <f t="shared" si="2"/>
        <v>18</v>
      </c>
      <c r="I39" s="412"/>
      <c r="J39" s="168">
        <f t="shared" si="3"/>
        <v>243</v>
      </c>
      <c r="L39" s="102">
        <f>VLOOKUP(B39,データ!$B$3:$D$89,3,FALSE)</f>
        <v>25</v>
      </c>
      <c r="M39" s="189">
        <f t="shared" si="4"/>
        <v>225</v>
      </c>
      <c r="N39" s="105"/>
      <c r="O39" s="102">
        <f t="shared" si="5"/>
        <v>18</v>
      </c>
    </row>
    <row r="40" spans="1:17" ht="21.8" customHeight="1">
      <c r="A40" s="163">
        <f t="shared" si="6"/>
        <v>6</v>
      </c>
      <c r="B40" s="292" t="str">
        <f>'IV tong'!B39:C39</f>
        <v>PUROTEKUTA 55788-52360</v>
      </c>
      <c r="C40" s="292"/>
      <c r="D40" s="159" t="str">
        <f>'IV tong'!D39</f>
        <v>pcs</v>
      </c>
      <c r="E40" s="159">
        <f>'IV tong'!E39</f>
        <v>5000</v>
      </c>
      <c r="F40" s="409">
        <f>VLOOKUP(B40,データ!$B$3:$E$85,4,FALSE)</f>
        <v>500</v>
      </c>
      <c r="G40" s="409"/>
      <c r="H40" s="106">
        <f t="shared" si="2"/>
        <v>10</v>
      </c>
      <c r="I40" s="412"/>
      <c r="J40" s="168">
        <f t="shared" si="3"/>
        <v>135</v>
      </c>
      <c r="L40" s="102">
        <f>VLOOKUP(B40,データ!$B$3:$D$89,3,FALSE)</f>
        <v>25</v>
      </c>
      <c r="M40" s="189">
        <f t="shared" si="4"/>
        <v>125</v>
      </c>
      <c r="N40" s="105"/>
      <c r="O40" s="102">
        <f t="shared" si="5"/>
        <v>10</v>
      </c>
    </row>
    <row r="41" spans="1:17" ht="21.8" customHeight="1">
      <c r="A41" s="163">
        <f t="shared" si="6"/>
        <v>7</v>
      </c>
      <c r="B41" s="292" t="str">
        <f>'IV tong'!B40:C40</f>
        <v>PUROTEKUTA 55788-52350</v>
      </c>
      <c r="C41" s="292"/>
      <c r="D41" s="159" t="str">
        <f>'IV tong'!D40</f>
        <v>pcs</v>
      </c>
      <c r="E41" s="159">
        <f>'IV tong'!E40</f>
        <v>6000</v>
      </c>
      <c r="F41" s="409">
        <f>VLOOKUP(B41,データ!$B$3:$E$85,4,FALSE)</f>
        <v>500</v>
      </c>
      <c r="G41" s="409"/>
      <c r="H41" s="106">
        <f t="shared" si="2"/>
        <v>12</v>
      </c>
      <c r="I41" s="412"/>
      <c r="J41" s="168">
        <f t="shared" si="3"/>
        <v>153</v>
      </c>
      <c r="L41" s="102">
        <f>VLOOKUP(B41,データ!$B$3:$D$89,3,FALSE)</f>
        <v>23.5</v>
      </c>
      <c r="M41" s="189">
        <f t="shared" ref="M41" si="7">E41*L41/1000</f>
        <v>141</v>
      </c>
      <c r="N41" s="105"/>
      <c r="O41" s="102">
        <f t="shared" ref="O41" si="8">H41*1</f>
        <v>12</v>
      </c>
    </row>
    <row r="42" spans="1:17" ht="21.8" customHeight="1">
      <c r="A42" s="163">
        <f t="shared" si="6"/>
        <v>8</v>
      </c>
      <c r="B42" s="292" t="str">
        <f>'IV tong'!B41:C41</f>
        <v>TABLE EDGE MG23</v>
      </c>
      <c r="C42" s="292"/>
      <c r="D42" s="159" t="str">
        <f>'IV tong'!D41</f>
        <v>m</v>
      </c>
      <c r="E42" s="159">
        <f>'IV tong'!E41</f>
        <v>4000</v>
      </c>
      <c r="F42" s="409">
        <f>VLOOKUP(B42,データ!$B$3:$E$85,4,FALSE)</f>
        <v>50</v>
      </c>
      <c r="G42" s="409"/>
      <c r="H42" s="106">
        <f t="shared" si="2"/>
        <v>80</v>
      </c>
      <c r="I42" s="106">
        <v>1</v>
      </c>
      <c r="J42" s="168">
        <f t="shared" si="3"/>
        <v>392</v>
      </c>
      <c r="L42" s="102">
        <f>VLOOKUP(B42,データ!$B$3:$D$198,3,FALSE)</f>
        <v>78</v>
      </c>
      <c r="M42" s="189">
        <f t="shared" ref="M42:M44" si="9">E42*L42/1000</f>
        <v>312</v>
      </c>
      <c r="N42" s="105"/>
      <c r="O42" s="102">
        <f t="shared" ref="O42:O43" si="10">H42*1</f>
        <v>80</v>
      </c>
    </row>
    <row r="43" spans="1:17" ht="21.8" customHeight="1">
      <c r="A43" s="163">
        <f t="shared" si="6"/>
        <v>9</v>
      </c>
      <c r="B43" s="292" t="str">
        <f>'IV tong'!B42:C42</f>
        <v>TABLE EDGE MI3 156</v>
      </c>
      <c r="C43" s="292"/>
      <c r="D43" s="159" t="str">
        <f>'IV tong'!D42</f>
        <v>pcs</v>
      </c>
      <c r="E43" s="159">
        <f>'IV tong'!E42</f>
        <v>240</v>
      </c>
      <c r="F43" s="409">
        <f>VLOOKUP(B43,データ!$B$3:$E$85,4,FALSE)</f>
        <v>30</v>
      </c>
      <c r="G43" s="409"/>
      <c r="H43" s="106">
        <f t="shared" si="2"/>
        <v>8</v>
      </c>
      <c r="I43" s="106"/>
      <c r="J43" s="168">
        <f t="shared" si="3"/>
        <v>173.93120000000002</v>
      </c>
      <c r="L43" s="102">
        <f>VLOOKUP(B43,データ!$B$3:$D$198,3,FALSE)</f>
        <v>691.38</v>
      </c>
      <c r="M43" s="189">
        <f t="shared" si="9"/>
        <v>165.93120000000002</v>
      </c>
      <c r="N43" s="105"/>
      <c r="O43" s="102">
        <f t="shared" si="10"/>
        <v>8</v>
      </c>
    </row>
    <row r="44" spans="1:17" ht="21.8" customHeight="1">
      <c r="A44" s="163">
        <f t="shared" si="6"/>
        <v>10</v>
      </c>
      <c r="B44" s="292" t="str">
        <f>'IV tong'!B43:C43</f>
        <v>MASK 42811</v>
      </c>
      <c r="C44" s="292"/>
      <c r="D44" s="159" t="str">
        <f>'IV tong'!D43</f>
        <v>bag</v>
      </c>
      <c r="E44" s="159">
        <f>'IV tong'!E43</f>
        <v>12000</v>
      </c>
      <c r="F44" s="409">
        <f>VLOOKUP(B44,データ!$B$3:$E$85,4,FALSE)</f>
        <v>120</v>
      </c>
      <c r="G44" s="409"/>
      <c r="H44" s="106">
        <f t="shared" si="2"/>
        <v>100</v>
      </c>
      <c r="I44" s="106">
        <v>5</v>
      </c>
      <c r="J44" s="168">
        <f>M44+N44+O44</f>
        <v>1049.5999999999999</v>
      </c>
      <c r="L44" s="102">
        <f>VLOOKUP(B44,データ!$B$3:$D$198,3,FALSE)</f>
        <v>83.3</v>
      </c>
      <c r="M44" s="189">
        <f t="shared" si="9"/>
        <v>999.6</v>
      </c>
      <c r="N44" s="105"/>
      <c r="O44" s="102">
        <f>H44*0.5</f>
        <v>50</v>
      </c>
    </row>
    <row r="45" spans="1:17" ht="21.8" customHeight="1">
      <c r="A45" s="163">
        <f t="shared" si="6"/>
        <v>11</v>
      </c>
      <c r="B45" s="292"/>
      <c r="C45" s="292"/>
      <c r="D45" s="159"/>
      <c r="E45" s="159"/>
      <c r="F45" s="409"/>
      <c r="G45" s="409"/>
      <c r="H45" s="106"/>
      <c r="I45" s="106"/>
      <c r="J45" s="168"/>
      <c r="L45" s="102" t="e">
        <f>VLOOKUP(B45,データ!$B$3:$D$198,3,FALSE)</f>
        <v>#N/A</v>
      </c>
      <c r="M45" s="189" t="e">
        <f t="shared" ref="M45:M47" si="11">E45*L45/1000</f>
        <v>#N/A</v>
      </c>
      <c r="N45" s="105"/>
      <c r="O45" s="102">
        <f t="shared" ref="O45:O47" si="12">H45*1</f>
        <v>0</v>
      </c>
    </row>
    <row r="46" spans="1:17" ht="21.8" customHeight="1">
      <c r="A46" s="163">
        <f t="shared" si="6"/>
        <v>12</v>
      </c>
      <c r="B46" s="292"/>
      <c r="C46" s="292"/>
      <c r="D46" s="159"/>
      <c r="E46" s="159"/>
      <c r="F46" s="409"/>
      <c r="G46" s="409"/>
      <c r="H46" s="106"/>
      <c r="I46" s="216"/>
      <c r="J46" s="168"/>
      <c r="L46" s="102" t="e">
        <f>VLOOKUP(B46,データ!$B$3:$D$198,3,FALSE)</f>
        <v>#N/A</v>
      </c>
      <c r="M46" s="189" t="e">
        <f t="shared" si="11"/>
        <v>#N/A</v>
      </c>
      <c r="N46" s="105"/>
      <c r="O46" s="102">
        <f t="shared" si="12"/>
        <v>0</v>
      </c>
    </row>
    <row r="47" spans="1:17" ht="21.8" customHeight="1">
      <c r="A47" s="163">
        <f>A46+1</f>
        <v>13</v>
      </c>
      <c r="B47" s="292"/>
      <c r="C47" s="292"/>
      <c r="D47" s="159"/>
      <c r="E47" s="159"/>
      <c r="F47" s="418"/>
      <c r="G47" s="418"/>
      <c r="H47" s="106"/>
      <c r="I47" s="201"/>
      <c r="J47" s="168"/>
      <c r="L47" s="102" t="e">
        <f>VLOOKUP(B47,データ!$B$3:$D$198,3,FALSE)</f>
        <v>#N/A</v>
      </c>
      <c r="M47" s="189" t="e">
        <f t="shared" si="11"/>
        <v>#N/A</v>
      </c>
      <c r="N47" s="105"/>
      <c r="O47" s="102">
        <f t="shared" si="12"/>
        <v>0</v>
      </c>
    </row>
    <row r="48" spans="1:17" ht="21.8" customHeight="1">
      <c r="A48" s="163"/>
      <c r="B48" s="292"/>
      <c r="C48" s="292"/>
      <c r="D48" s="159"/>
      <c r="E48" s="159"/>
      <c r="F48" s="414"/>
      <c r="G48" s="415"/>
      <c r="H48" s="106"/>
      <c r="I48" s="201"/>
      <c r="J48" s="168"/>
      <c r="L48" s="102" t="e">
        <f>VLOOKUP(B48,データ!$B$3:$D$198,3,FALSE)</f>
        <v>#N/A</v>
      </c>
      <c r="M48" s="189" t="e">
        <f t="shared" ref="M48" si="13">E48*L48/1000</f>
        <v>#N/A</v>
      </c>
      <c r="N48" s="105"/>
      <c r="O48" s="102">
        <f t="shared" ref="O48" si="14">H48*1</f>
        <v>0</v>
      </c>
    </row>
    <row r="49" spans="1:13" ht="17.25" customHeight="1">
      <c r="A49" s="406" t="s">
        <v>55</v>
      </c>
      <c r="B49" s="407"/>
      <c r="C49" s="407"/>
      <c r="D49" s="343"/>
      <c r="E49" s="410">
        <f>SUMIF(D35:D48,K35,E35:E48)</f>
        <v>79740</v>
      </c>
      <c r="F49" s="408"/>
      <c r="G49" s="343"/>
      <c r="H49" s="417">
        <f>SUMIF(D35:D48,K35,H35:H48)+ SUMIF(D35:D48,K38,H35:H48)</f>
        <v>267</v>
      </c>
      <c r="I49" s="411">
        <f>SUM(I35:I48)</f>
        <v>11</v>
      </c>
      <c r="J49" s="413">
        <f>SUM(J35:J48)+220</f>
        <v>3907.5311999999999</v>
      </c>
      <c r="M49" s="176"/>
    </row>
    <row r="50" spans="1:13" ht="17.25" customHeight="1">
      <c r="A50" s="332"/>
      <c r="B50" s="278"/>
      <c r="C50" s="278"/>
      <c r="D50" s="279"/>
      <c r="E50" s="337"/>
      <c r="F50" s="338"/>
      <c r="G50" s="279"/>
      <c r="H50" s="327"/>
      <c r="I50" s="412"/>
      <c r="J50" s="322"/>
      <c r="M50" s="68"/>
    </row>
    <row r="51" spans="1:13" ht="18" customHeight="1" thickBot="1">
      <c r="A51" s="333"/>
      <c r="B51" s="334"/>
      <c r="C51" s="334"/>
      <c r="D51" s="335"/>
      <c r="E51" s="206">
        <f>SUMIF(D35:D48,K37,E35:E48)</f>
        <v>4000</v>
      </c>
      <c r="F51" s="339"/>
      <c r="G51" s="335"/>
      <c r="H51" s="207">
        <f>SUMIF(D35:D48,K37,H35:H48)</f>
        <v>80</v>
      </c>
      <c r="I51" s="416"/>
      <c r="J51" s="323"/>
      <c r="M51" s="68"/>
    </row>
    <row r="52" spans="1:13" ht="20.05" customHeight="1">
      <c r="A52" s="20" t="s">
        <v>129</v>
      </c>
      <c r="B52" s="1"/>
      <c r="H52" s="278"/>
      <c r="I52" s="278"/>
      <c r="M52" s="68"/>
    </row>
    <row r="53" spans="1:13" ht="18" customHeight="1">
      <c r="A53" s="21" t="s">
        <v>56</v>
      </c>
      <c r="D53" s="50">
        <f>E49</f>
        <v>79740</v>
      </c>
      <c r="E53" s="101">
        <f>E51</f>
        <v>4000</v>
      </c>
      <c r="F53" s="169"/>
      <c r="H53" s="299" t="s">
        <v>36</v>
      </c>
      <c r="I53" s="299"/>
      <c r="J53" s="299"/>
      <c r="M53" s="68"/>
    </row>
    <row r="54" spans="1:13" ht="20.05" customHeight="1">
      <c r="A54" s="21" t="s">
        <v>57</v>
      </c>
      <c r="D54" s="48">
        <f>J49</f>
        <v>3907.5311999999999</v>
      </c>
      <c r="E54" s="49">
        <f>I49</f>
        <v>11</v>
      </c>
      <c r="F54" s="33"/>
      <c r="G54" s="33"/>
      <c r="H54" s="33"/>
      <c r="I54" s="66"/>
      <c r="K54" s="161"/>
      <c r="M54" s="68"/>
    </row>
    <row r="55" spans="1:13" ht="25.55" customHeight="1">
      <c r="A55" s="21" t="s">
        <v>59</v>
      </c>
      <c r="D55" s="72">
        <f>1.1*1.5*1.5*6+1.1*1.1*1.9*5</f>
        <v>26.345000000000002</v>
      </c>
      <c r="E55" s="97"/>
      <c r="M55" s="68"/>
    </row>
    <row r="56" spans="1:13" ht="20.05" customHeight="1">
      <c r="A56" s="21" t="s">
        <v>60</v>
      </c>
      <c r="M56" s="68"/>
    </row>
    <row r="57" spans="1:13" ht="20.05" customHeight="1">
      <c r="M57" s="68"/>
    </row>
    <row r="58" spans="1:13" ht="20.05" customHeight="1">
      <c r="M58" s="68"/>
    </row>
    <row r="59" spans="1:13" ht="20.05" customHeight="1">
      <c r="M59" s="68"/>
    </row>
    <row r="60" spans="1:13" ht="20.05" customHeight="1">
      <c r="M60" s="68"/>
    </row>
    <row r="61" spans="1:13" ht="20.05" customHeight="1">
      <c r="M61" s="68"/>
    </row>
    <row r="62" spans="1:13" ht="20.05" customHeight="1">
      <c r="M62" s="68"/>
    </row>
    <row r="63" spans="1:13" ht="20.05" customHeight="1">
      <c r="M63" s="68"/>
    </row>
    <row r="64" spans="1:13" ht="80.3" customHeight="1">
      <c r="A64" s="330"/>
      <c r="B64" s="330"/>
      <c r="C64" s="330"/>
    </row>
    <row r="68" spans="3:11">
      <c r="D68" s="51" t="s">
        <v>61</v>
      </c>
      <c r="E68" s="51" t="s">
        <v>62</v>
      </c>
      <c r="F68" s="51" t="s">
        <v>63</v>
      </c>
      <c r="G68" s="51" t="s">
        <v>64</v>
      </c>
      <c r="H68" s="51" t="s">
        <v>65</v>
      </c>
      <c r="I68" s="51" t="s">
        <v>66</v>
      </c>
      <c r="J68" s="51" t="s">
        <v>67</v>
      </c>
    </row>
    <row r="69" spans="3:11" ht="15.05" thickBot="1">
      <c r="D69" s="51">
        <v>4140</v>
      </c>
      <c r="E69" s="53">
        <v>100</v>
      </c>
      <c r="F69" s="54" t="e">
        <f>#REF!</f>
        <v>#REF!</v>
      </c>
      <c r="G69" s="55" t="e">
        <f t="shared" ref="G69:G81" si="15">F69*E69/1000</f>
        <v>#REF!</v>
      </c>
      <c r="H69" s="56" t="e">
        <f>#REF!*6*0.38/1000</f>
        <v>#REF!</v>
      </c>
      <c r="I69" s="56" t="e">
        <f>#REF!*0.6</f>
        <v>#REF!</v>
      </c>
      <c r="J69" s="56" t="e">
        <f>G69+H69+I69</f>
        <v>#REF!</v>
      </c>
    </row>
    <row r="70" spans="3:11">
      <c r="D70" s="51">
        <v>4080</v>
      </c>
      <c r="E70" s="53">
        <v>53</v>
      </c>
      <c r="F70" s="54" t="e">
        <f>#REF!</f>
        <v>#REF!</v>
      </c>
      <c r="G70" s="55" t="e">
        <f>F70*E70/1000</f>
        <v>#REF!</v>
      </c>
      <c r="H70" s="56" t="e">
        <f>#REF!*7*0.38/1000</f>
        <v>#REF!</v>
      </c>
      <c r="I70" s="56" t="e">
        <f>#REF!*600/1000</f>
        <v>#REF!</v>
      </c>
      <c r="J70" s="56" t="e">
        <f>G70+H70+I70</f>
        <v>#REF!</v>
      </c>
      <c r="K70" s="63" t="e">
        <f>G69+G70</f>
        <v>#REF!</v>
      </c>
    </row>
    <row r="71" spans="3:11">
      <c r="D71" s="51">
        <v>4090</v>
      </c>
      <c r="E71" s="53">
        <v>60</v>
      </c>
      <c r="F71" s="54" t="e">
        <f>#REF!</f>
        <v>#REF!</v>
      </c>
      <c r="G71" s="55" t="e">
        <f>F71*E71/1000</f>
        <v>#REF!</v>
      </c>
      <c r="H71" s="56" t="e">
        <f>#REF!*7*0.38/1000</f>
        <v>#REF!</v>
      </c>
      <c r="I71" s="56" t="e">
        <f>#REF!*600/1000</f>
        <v>#REF!</v>
      </c>
      <c r="J71" s="56" t="e">
        <f>G71+H71+I71</f>
        <v>#REF!</v>
      </c>
      <c r="K71" s="63"/>
    </row>
    <row r="72" spans="3:11">
      <c r="D72" s="51">
        <v>4120</v>
      </c>
      <c r="E72" s="53">
        <v>43</v>
      </c>
      <c r="F72" s="54" t="e">
        <f>#REF!</f>
        <v>#REF!</v>
      </c>
      <c r="G72" s="55" t="e">
        <f>F72*E72/1000</f>
        <v>#REF!</v>
      </c>
      <c r="H72" s="56" t="e">
        <f>#REF!*7*0.38/1000</f>
        <v>#REF!</v>
      </c>
      <c r="I72" s="56" t="e">
        <f>#REF!*600/1000</f>
        <v>#REF!</v>
      </c>
      <c r="J72" s="56" t="e">
        <f>G72+H72+I72</f>
        <v>#REF!</v>
      </c>
      <c r="K72" s="63"/>
    </row>
    <row r="73" spans="3:11">
      <c r="D73" s="51">
        <v>4130</v>
      </c>
      <c r="E73" s="53">
        <v>28</v>
      </c>
      <c r="F73" s="54" t="e">
        <f>#REF!</f>
        <v>#REF!</v>
      </c>
      <c r="G73" s="55" t="e">
        <f>F73*E73/1000</f>
        <v>#REF!</v>
      </c>
      <c r="H73" s="56" t="e">
        <f>#REF!*7*0.38/1000</f>
        <v>#REF!</v>
      </c>
      <c r="I73" s="56" t="e">
        <f>#REF!*600/1000</f>
        <v>#REF!</v>
      </c>
      <c r="J73" s="56" t="e">
        <f>G73+H73+I73</f>
        <v>#REF!</v>
      </c>
      <c r="K73" s="63"/>
    </row>
    <row r="74" spans="3:11">
      <c r="D74" s="51" t="s">
        <v>68</v>
      </c>
      <c r="E74" s="53">
        <v>4.3</v>
      </c>
      <c r="F74" s="54" t="e">
        <f>#REF!</f>
        <v>#REF!</v>
      </c>
      <c r="G74" s="55" t="e">
        <f t="shared" si="15"/>
        <v>#REF!</v>
      </c>
      <c r="H74" s="51"/>
      <c r="I74" s="56" t="e">
        <f>F74/3000*0.6</f>
        <v>#REF!</v>
      </c>
      <c r="J74" s="56" t="e">
        <f>I74+G74</f>
        <v>#REF!</v>
      </c>
    </row>
    <row r="75" spans="3:11">
      <c r="D75" s="51" t="s">
        <v>69</v>
      </c>
      <c r="E75" s="53">
        <v>7.2</v>
      </c>
      <c r="F75" s="54"/>
      <c r="G75" s="55">
        <f t="shared" si="15"/>
        <v>0</v>
      </c>
      <c r="H75" s="51"/>
      <c r="I75" s="56">
        <f>F75/1500*0.6</f>
        <v>0</v>
      </c>
      <c r="J75" s="56">
        <f>I75+G75</f>
        <v>0</v>
      </c>
    </row>
    <row r="76" spans="3:11">
      <c r="D76" s="51" t="s">
        <v>70</v>
      </c>
      <c r="E76" s="53">
        <v>12.4</v>
      </c>
      <c r="F76" s="54"/>
      <c r="G76" s="55">
        <f t="shared" si="15"/>
        <v>0</v>
      </c>
      <c r="H76" s="51"/>
      <c r="I76" s="56">
        <f>16*0.6</f>
        <v>9.6</v>
      </c>
      <c r="J76" s="56">
        <f t="shared" ref="J76:J84" si="16">I76+G76</f>
        <v>9.6</v>
      </c>
    </row>
    <row r="77" spans="3:11">
      <c r="D77" s="51" t="s">
        <v>71</v>
      </c>
      <c r="E77" s="53">
        <v>0.8</v>
      </c>
      <c r="F77" s="54" t="e">
        <f>#REF!</f>
        <v>#REF!</v>
      </c>
      <c r="G77" s="55" t="e">
        <f t="shared" si="15"/>
        <v>#REF!</v>
      </c>
      <c r="H77" s="51"/>
      <c r="I77" s="56">
        <f>16*0.6</f>
        <v>9.6</v>
      </c>
      <c r="J77" s="56" t="e">
        <f t="shared" si="16"/>
        <v>#REF!</v>
      </c>
    </row>
    <row r="78" spans="3:11">
      <c r="D78" s="51" t="s">
        <v>72</v>
      </c>
      <c r="E78" s="53">
        <v>0.8</v>
      </c>
      <c r="F78" s="54"/>
      <c r="G78" s="55">
        <f t="shared" si="15"/>
        <v>0</v>
      </c>
      <c r="H78" s="51"/>
      <c r="I78" s="56">
        <f>2*0.6</f>
        <v>1.2</v>
      </c>
      <c r="J78" s="56">
        <f t="shared" si="16"/>
        <v>1.2</v>
      </c>
    </row>
    <row r="79" spans="3:11">
      <c r="C79" s="21">
        <f>16.7*50</f>
        <v>835</v>
      </c>
      <c r="D79" s="51" t="s">
        <v>73</v>
      </c>
      <c r="E79" s="53">
        <v>1.1000000000000001</v>
      </c>
      <c r="F79" s="54"/>
      <c r="G79" s="55">
        <f t="shared" si="15"/>
        <v>0</v>
      </c>
      <c r="H79" s="52"/>
      <c r="I79" s="56">
        <f>1*0.6</f>
        <v>0.6</v>
      </c>
      <c r="J79" s="56">
        <f t="shared" si="16"/>
        <v>0.6</v>
      </c>
    </row>
    <row r="80" spans="3:11">
      <c r="D80" s="51" t="s">
        <v>74</v>
      </c>
      <c r="E80" s="53">
        <v>1.1000000000000001</v>
      </c>
      <c r="F80" s="54" t="e">
        <f>#REF!</f>
        <v>#REF!</v>
      </c>
      <c r="G80" s="55" t="e">
        <f t="shared" si="15"/>
        <v>#REF!</v>
      </c>
      <c r="H80" s="52"/>
      <c r="I80" s="56">
        <f>3*0.6</f>
        <v>1.7999999999999998</v>
      </c>
      <c r="J80" s="56" t="e">
        <f t="shared" si="16"/>
        <v>#REF!</v>
      </c>
    </row>
    <row r="81" spans="2:12">
      <c r="C81" s="81" t="s">
        <v>75</v>
      </c>
      <c r="D81" s="51" t="s">
        <v>76</v>
      </c>
      <c r="E81" s="53">
        <v>3.7</v>
      </c>
      <c r="F81" s="54"/>
      <c r="G81" s="55">
        <f t="shared" si="15"/>
        <v>0</v>
      </c>
      <c r="H81" s="52"/>
      <c r="I81" s="56">
        <f>F81/1500*0.6</f>
        <v>0</v>
      </c>
      <c r="J81" s="56">
        <f>I81+G81</f>
        <v>0</v>
      </c>
    </row>
    <row r="82" spans="2:12">
      <c r="C82" s="21">
        <f>3.9/50*100</f>
        <v>7.8</v>
      </c>
      <c r="D82" s="51"/>
      <c r="E82" s="53"/>
      <c r="F82" s="54"/>
      <c r="G82" s="55"/>
      <c r="H82" s="52"/>
      <c r="I82" s="56"/>
      <c r="J82" s="56">
        <f t="shared" si="16"/>
        <v>0</v>
      </c>
    </row>
    <row r="83" spans="2:12">
      <c r="C83" s="21">
        <f>E84/50*100</f>
        <v>16.8</v>
      </c>
      <c r="D83" s="159" t="s">
        <v>77</v>
      </c>
      <c r="E83" s="60">
        <v>3.9</v>
      </c>
      <c r="F83" s="54" t="e">
        <f>#REF!</f>
        <v>#REF!</v>
      </c>
      <c r="G83" s="57" t="e">
        <f>F83/50*E83</f>
        <v>#REF!</v>
      </c>
      <c r="H83" s="39"/>
      <c r="I83" s="159"/>
      <c r="J83" s="56" t="e">
        <f>I83+G83</f>
        <v>#REF!</v>
      </c>
    </row>
    <row r="84" spans="2:12">
      <c r="D84" s="159" t="s">
        <v>78</v>
      </c>
      <c r="E84" s="60">
        <v>8.4</v>
      </c>
      <c r="F84" s="54" t="e">
        <f>#REF!</f>
        <v>#REF!</v>
      </c>
      <c r="G84" s="58" t="e">
        <f>E84*F84/50</f>
        <v>#REF!</v>
      </c>
      <c r="H84" s="39"/>
      <c r="I84" s="159"/>
      <c r="J84" s="56" t="e">
        <f t="shared" si="16"/>
        <v>#REF!</v>
      </c>
    </row>
    <row r="85" spans="2:12">
      <c r="B85" s="21">
        <f>50*16.8</f>
        <v>840</v>
      </c>
      <c r="C85" s="21" t="s">
        <v>79</v>
      </c>
      <c r="D85" s="159" t="s">
        <v>80</v>
      </c>
      <c r="E85" s="62">
        <f>4140*167/1000/1000</f>
        <v>0.69137999999999999</v>
      </c>
      <c r="F85" s="54" t="e">
        <f>#REF!</f>
        <v>#REF!</v>
      </c>
      <c r="G85" s="61" t="e">
        <f>E85*F85</f>
        <v>#REF!</v>
      </c>
      <c r="H85" s="39"/>
      <c r="I85" s="64">
        <f>12*1</f>
        <v>12</v>
      </c>
      <c r="J85" s="56" t="e">
        <f>I85+G85</f>
        <v>#REF!</v>
      </c>
      <c r="K85" s="59">
        <v>4140</v>
      </c>
      <c r="L85" s="21" t="s">
        <v>81</v>
      </c>
    </row>
    <row r="86" spans="2:12">
      <c r="C86" s="21" t="s">
        <v>82</v>
      </c>
      <c r="D86" s="159" t="s">
        <v>83</v>
      </c>
      <c r="E86" s="62">
        <f>4416*167/1000/1000</f>
        <v>0.73747200000000002</v>
      </c>
      <c r="F86" s="54" t="e">
        <f>#REF!</f>
        <v>#REF!</v>
      </c>
      <c r="G86" s="61" t="e">
        <f>F86*E86</f>
        <v>#REF!</v>
      </c>
      <c r="H86" s="39"/>
      <c r="I86" s="64" t="e">
        <f>F86/30*1</f>
        <v>#REF!</v>
      </c>
      <c r="J86" s="56" t="e">
        <f>I86+G86</f>
        <v>#REF!</v>
      </c>
      <c r="K86" s="59">
        <v>4416</v>
      </c>
      <c r="L86" s="21" t="s">
        <v>81</v>
      </c>
    </row>
    <row r="87" spans="2:12">
      <c r="C87" s="21" t="s">
        <v>84</v>
      </c>
      <c r="D87" s="159" t="s">
        <v>85</v>
      </c>
      <c r="E87" s="62">
        <v>0.84</v>
      </c>
      <c r="F87" s="54"/>
      <c r="G87" s="61">
        <f t="shared" ref="G87:G90" si="17">F87*E87</f>
        <v>0</v>
      </c>
      <c r="H87" s="39"/>
      <c r="I87" s="64">
        <f>F87/25*1</f>
        <v>0</v>
      </c>
      <c r="J87" s="56">
        <f t="shared" ref="J87:J93" si="18">I87+G87</f>
        <v>0</v>
      </c>
      <c r="K87" s="59"/>
    </row>
    <row r="88" spans="2:12">
      <c r="C88" s="21" t="s">
        <v>86</v>
      </c>
      <c r="D88" s="159" t="s">
        <v>87</v>
      </c>
      <c r="E88" s="62">
        <v>0.77</v>
      </c>
      <c r="F88" s="54"/>
      <c r="G88" s="61">
        <f t="shared" si="17"/>
        <v>0</v>
      </c>
      <c r="H88" s="39"/>
      <c r="I88" s="64">
        <f>F88/25*1</f>
        <v>0</v>
      </c>
      <c r="J88" s="56">
        <f t="shared" si="18"/>
        <v>0</v>
      </c>
      <c r="K88" s="59"/>
    </row>
    <row r="89" spans="2:12">
      <c r="D89" s="159" t="s">
        <v>88</v>
      </c>
      <c r="E89" s="62">
        <v>0.624</v>
      </c>
      <c r="F89" s="54">
        <f>E52</f>
        <v>0</v>
      </c>
      <c r="G89" s="61">
        <f t="shared" si="17"/>
        <v>0</v>
      </c>
      <c r="H89" s="39"/>
      <c r="I89" s="64">
        <f>F89/25*1</f>
        <v>0</v>
      </c>
      <c r="J89" s="56">
        <f t="shared" si="18"/>
        <v>0</v>
      </c>
      <c r="K89" s="59"/>
    </row>
    <row r="90" spans="2:12">
      <c r="D90" s="159" t="s">
        <v>89</v>
      </c>
      <c r="E90" s="62">
        <v>0.67300000000000004</v>
      </c>
      <c r="F90" s="54"/>
      <c r="G90" s="61">
        <f t="shared" si="17"/>
        <v>0</v>
      </c>
      <c r="H90" s="39"/>
      <c r="I90" s="64">
        <f t="shared" ref="I90" si="19">F90/25*1</f>
        <v>0</v>
      </c>
      <c r="J90" s="56">
        <f t="shared" si="18"/>
        <v>0</v>
      </c>
      <c r="K90" s="59"/>
    </row>
    <row r="91" spans="2:12">
      <c r="B91" s="21">
        <f>16.8/1000</f>
        <v>1.6800000000000002E-2</v>
      </c>
      <c r="D91" s="159" t="s">
        <v>90</v>
      </c>
      <c r="E91" s="65">
        <v>21.6</v>
      </c>
      <c r="F91" s="54"/>
      <c r="G91" s="58">
        <f>F91*E91/1000</f>
        <v>0</v>
      </c>
      <c r="H91" s="159"/>
      <c r="I91" s="64">
        <f>F91/500*1</f>
        <v>0</v>
      </c>
      <c r="J91" s="56">
        <f t="shared" si="18"/>
        <v>0</v>
      </c>
    </row>
    <row r="92" spans="2:12">
      <c r="D92" s="159" t="s">
        <v>91</v>
      </c>
      <c r="E92" s="65">
        <v>24</v>
      </c>
      <c r="F92" s="54">
        <f>E55</f>
        <v>0</v>
      </c>
      <c r="G92" s="58">
        <f>F92*E92/1000</f>
        <v>0</v>
      </c>
      <c r="H92" s="159"/>
      <c r="I92" s="64">
        <f>F92/500*1</f>
        <v>0</v>
      </c>
      <c r="J92" s="56">
        <f t="shared" si="18"/>
        <v>0</v>
      </c>
    </row>
    <row r="93" spans="2:12">
      <c r="D93" s="159" t="s">
        <v>92</v>
      </c>
      <c r="E93" s="65">
        <v>21.7</v>
      </c>
      <c r="F93" s="54">
        <f>E56</f>
        <v>0</v>
      </c>
      <c r="G93" s="58">
        <f>F93*E93/1000</f>
        <v>0</v>
      </c>
      <c r="H93" s="159"/>
      <c r="I93" s="64">
        <f t="shared" ref="I93" si="20">F93/500*1</f>
        <v>0</v>
      </c>
      <c r="J93" s="56">
        <f t="shared" si="18"/>
        <v>0</v>
      </c>
    </row>
    <row r="94" spans="2:12">
      <c r="D94" s="159" t="s">
        <v>93</v>
      </c>
      <c r="E94" s="159">
        <v>5.1999999999999998E-2</v>
      </c>
      <c r="F94" s="54">
        <f>E64</f>
        <v>0</v>
      </c>
      <c r="G94" s="159">
        <f>F94*E94</f>
        <v>0</v>
      </c>
      <c r="H94" s="159"/>
      <c r="I94" s="159">
        <f>F94/100*1</f>
        <v>0</v>
      </c>
      <c r="J94" s="159">
        <f>I94+G94</f>
        <v>0</v>
      </c>
    </row>
  </sheetData>
  <mergeCells count="64">
    <mergeCell ref="A29:D29"/>
    <mergeCell ref="A31:A34"/>
    <mergeCell ref="G14:J14"/>
    <mergeCell ref="E27:F29"/>
    <mergeCell ref="F40:G40"/>
    <mergeCell ref="B31:C34"/>
    <mergeCell ref="D31:D34"/>
    <mergeCell ref="B36:C36"/>
    <mergeCell ref="A24:C24"/>
    <mergeCell ref="C25:D25"/>
    <mergeCell ref="A27:D27"/>
    <mergeCell ref="F36:G36"/>
    <mergeCell ref="F31:G34"/>
    <mergeCell ref="J31:J34"/>
    <mergeCell ref="H31:H34"/>
    <mergeCell ref="I31:I34"/>
    <mergeCell ref="G13:H13"/>
    <mergeCell ref="I13:J13"/>
    <mergeCell ref="A23:C23"/>
    <mergeCell ref="A26:D26"/>
    <mergeCell ref="A28:D28"/>
    <mergeCell ref="G15:J17"/>
    <mergeCell ref="E26:F26"/>
    <mergeCell ref="A1:J4"/>
    <mergeCell ref="G5:J5"/>
    <mergeCell ref="G8:J10"/>
    <mergeCell ref="G11:H12"/>
    <mergeCell ref="I11:J12"/>
    <mergeCell ref="I35:I41"/>
    <mergeCell ref="F41:G41"/>
    <mergeCell ref="J49:J51"/>
    <mergeCell ref="F48:G48"/>
    <mergeCell ref="I49:I51"/>
    <mergeCell ref="F44:G44"/>
    <mergeCell ref="F42:G42"/>
    <mergeCell ref="H49:H50"/>
    <mergeCell ref="F43:G43"/>
    <mergeCell ref="F45:G45"/>
    <mergeCell ref="F46:G46"/>
    <mergeCell ref="F47:G47"/>
    <mergeCell ref="B43:C43"/>
    <mergeCell ref="B44:C44"/>
    <mergeCell ref="E49:E50"/>
    <mergeCell ref="H53:J53"/>
    <mergeCell ref="H52:I52"/>
    <mergeCell ref="B45:C45"/>
    <mergeCell ref="B46:C46"/>
    <mergeCell ref="B47:C47"/>
    <mergeCell ref="E31:E34"/>
    <mergeCell ref="A64:C64"/>
    <mergeCell ref="A49:D51"/>
    <mergeCell ref="F49:G51"/>
    <mergeCell ref="B35:C35"/>
    <mergeCell ref="B37:C37"/>
    <mergeCell ref="B38:C38"/>
    <mergeCell ref="F35:G35"/>
    <mergeCell ref="F39:G39"/>
    <mergeCell ref="B39:C39"/>
    <mergeCell ref="F37:G37"/>
    <mergeCell ref="F38:G38"/>
    <mergeCell ref="B48:C48"/>
    <mergeCell ref="B40:C40"/>
    <mergeCell ref="B41:C41"/>
    <mergeCell ref="B42:C42"/>
  </mergeCells>
  <phoneticPr fontId="4"/>
  <pageMargins left="0.16" right="0.16" top="0.16" bottom="0.16" header="0.3" footer="0.16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72"/>
  <sheetViews>
    <sheetView topLeftCell="A33" workbookViewId="0">
      <selection activeCell="C31" sqref="C31:C32"/>
    </sheetView>
  </sheetViews>
  <sheetFormatPr defaultColWidth="7.88671875" defaultRowHeight="14.4"/>
  <cols>
    <col min="1" max="1" width="4.77734375" style="21" customWidth="1"/>
    <col min="2" max="2" width="12.33203125" style="21" customWidth="1"/>
    <col min="3" max="3" width="16.21875" style="21" customWidth="1"/>
    <col min="4" max="4" width="11.21875" style="21" customWidth="1"/>
    <col min="5" max="5" width="21" style="21" customWidth="1"/>
    <col min="6" max="6" width="9.88671875" style="21" customWidth="1"/>
    <col min="7" max="7" width="12.33203125" style="21" customWidth="1"/>
    <col min="8" max="8" width="14.109375" style="21" customWidth="1"/>
    <col min="9" max="9" width="13.33203125" style="21" customWidth="1"/>
    <col min="10" max="10" width="28.77734375" style="21" customWidth="1"/>
    <col min="11" max="11" width="2.109375" style="21" customWidth="1"/>
    <col min="12" max="12" width="25.77734375" style="21" customWidth="1"/>
    <col min="13" max="13" width="11.6640625" style="21" customWidth="1"/>
    <col min="14" max="15" width="7.88671875" style="21"/>
    <col min="16" max="16" width="21.109375" style="21" customWidth="1"/>
    <col min="17" max="16384" width="7.88671875" style="21"/>
  </cols>
  <sheetData>
    <row r="1" spans="1:10" ht="17.55">
      <c r="J1" s="108">
        <v>45863</v>
      </c>
    </row>
    <row r="2" spans="1:10" ht="13.5" customHeight="1">
      <c r="A2" s="459" t="s">
        <v>130</v>
      </c>
      <c r="B2" s="459"/>
      <c r="C2" s="459"/>
      <c r="D2" s="459"/>
      <c r="E2" s="459"/>
      <c r="F2" s="459"/>
      <c r="G2" s="459"/>
      <c r="H2" s="459"/>
      <c r="I2" s="459"/>
      <c r="J2" s="459"/>
    </row>
    <row r="3" spans="1:10" ht="13.5" customHeight="1">
      <c r="A3" s="459"/>
      <c r="B3" s="459"/>
      <c r="C3" s="459"/>
      <c r="D3" s="459"/>
      <c r="E3" s="459"/>
      <c r="F3" s="459"/>
      <c r="G3" s="459"/>
      <c r="H3" s="459"/>
      <c r="I3" s="459"/>
      <c r="J3" s="459"/>
    </row>
    <row r="4" spans="1:10" ht="13.5" customHeight="1">
      <c r="A4" s="459"/>
      <c r="B4" s="459"/>
      <c r="C4" s="459"/>
      <c r="D4" s="459"/>
      <c r="E4" s="459"/>
      <c r="F4" s="459"/>
      <c r="G4" s="459"/>
      <c r="H4" s="459"/>
      <c r="I4" s="459"/>
      <c r="J4" s="459"/>
    </row>
    <row r="5" spans="1:10" ht="13.5" customHeight="1">
      <c r="A5" s="459"/>
      <c r="B5" s="459"/>
      <c r="C5" s="459"/>
      <c r="D5" s="459"/>
      <c r="E5" s="459"/>
      <c r="F5" s="459"/>
      <c r="G5" s="459"/>
      <c r="H5" s="459"/>
      <c r="I5" s="459"/>
      <c r="J5" s="459"/>
    </row>
    <row r="6" spans="1:10" ht="5.35" customHeight="1">
      <c r="A6" s="459"/>
      <c r="B6" s="459"/>
      <c r="C6" s="459"/>
      <c r="D6" s="459"/>
      <c r="E6" s="459"/>
      <c r="F6" s="459"/>
      <c r="G6" s="459"/>
      <c r="H6" s="459"/>
      <c r="I6" s="459"/>
      <c r="J6" s="459"/>
    </row>
    <row r="9" spans="1:10">
      <c r="A9" s="27" t="s">
        <v>131</v>
      </c>
      <c r="B9" s="27"/>
      <c r="C9" s="27"/>
      <c r="D9" s="27"/>
    </row>
    <row r="10" spans="1:10">
      <c r="A10" s="21" t="s">
        <v>132</v>
      </c>
    </row>
    <row r="13" spans="1:10">
      <c r="G13" s="21" t="s">
        <v>133</v>
      </c>
    </row>
    <row r="14" spans="1:10">
      <c r="A14" s="21" t="s">
        <v>134</v>
      </c>
      <c r="G14" s="21" t="s">
        <v>135</v>
      </c>
    </row>
    <row r="15" spans="1:10">
      <c r="A15" s="21" t="s">
        <v>136</v>
      </c>
      <c r="G15" s="21" t="s">
        <v>137</v>
      </c>
    </row>
    <row r="16" spans="1:10">
      <c r="A16" s="21" t="s">
        <v>138</v>
      </c>
      <c r="G16" s="21" t="s">
        <v>139</v>
      </c>
    </row>
    <row r="17" spans="1:18" ht="14.25" customHeight="1">
      <c r="A17" s="21" t="s">
        <v>140</v>
      </c>
      <c r="G17" s="21" t="s">
        <v>141</v>
      </c>
    </row>
    <row r="18" spans="1:18" ht="14.25" customHeight="1">
      <c r="G18" s="21" t="s">
        <v>142</v>
      </c>
    </row>
    <row r="19" spans="1:18">
      <c r="G19" s="21" t="s">
        <v>143</v>
      </c>
    </row>
    <row r="20" spans="1:18">
      <c r="G20" s="21" t="s">
        <v>144</v>
      </c>
    </row>
    <row r="21" spans="1:18" ht="9.6999999999999993" customHeight="1" thickBot="1"/>
    <row r="22" spans="1:18" ht="59.35" customHeight="1">
      <c r="A22" s="109"/>
      <c r="B22" s="110" t="s">
        <v>145</v>
      </c>
      <c r="C22" s="158" t="s">
        <v>146</v>
      </c>
      <c r="D22" s="158" t="s">
        <v>147</v>
      </c>
      <c r="E22" s="158" t="s">
        <v>148</v>
      </c>
      <c r="F22" s="158" t="s">
        <v>149</v>
      </c>
      <c r="G22" s="158" t="s">
        <v>150</v>
      </c>
      <c r="H22" s="158" t="s">
        <v>151</v>
      </c>
      <c r="I22" s="164" t="s">
        <v>152</v>
      </c>
      <c r="J22" s="166"/>
      <c r="K22" s="166"/>
      <c r="L22" s="166"/>
      <c r="M22" s="166"/>
    </row>
    <row r="23" spans="1:18" ht="21" customHeight="1" thickBot="1">
      <c r="B23" s="111">
        <v>0</v>
      </c>
      <c r="C23" s="112">
        <v>0</v>
      </c>
      <c r="D23" s="112">
        <f>B23-C23</f>
        <v>0</v>
      </c>
      <c r="E23" s="112">
        <f>I53</f>
        <v>20818.599999999999</v>
      </c>
      <c r="F23" s="112">
        <f>E23*0</f>
        <v>0</v>
      </c>
      <c r="G23" s="112">
        <f>E23+F23+D23</f>
        <v>20818.599999999999</v>
      </c>
      <c r="H23" s="113">
        <f>J63</f>
        <v>0</v>
      </c>
      <c r="I23" s="114">
        <f>G23-H23</f>
        <v>20818.599999999999</v>
      </c>
      <c r="J23" s="115"/>
      <c r="K23" s="115"/>
      <c r="L23" s="115"/>
      <c r="M23" s="115"/>
    </row>
    <row r="24" spans="1:18" ht="5.95" customHeight="1"/>
    <row r="25" spans="1:18" ht="15.85" customHeight="1">
      <c r="A25" s="21" t="s">
        <v>153</v>
      </c>
    </row>
    <row r="26" spans="1:18">
      <c r="A26" s="21" t="s">
        <v>154</v>
      </c>
    </row>
    <row r="27" spans="1:18" ht="6.75" customHeight="1" thickBot="1"/>
    <row r="28" spans="1:18" ht="57.8" customHeight="1">
      <c r="A28" s="460" t="s">
        <v>155</v>
      </c>
      <c r="B28" s="461"/>
      <c r="C28" s="116" t="s">
        <v>156</v>
      </c>
      <c r="D28" s="462" t="s">
        <v>157</v>
      </c>
      <c r="E28" s="463"/>
      <c r="F28" s="117" t="s">
        <v>158</v>
      </c>
      <c r="G28" s="117" t="s">
        <v>159</v>
      </c>
      <c r="H28" s="117" t="s">
        <v>160</v>
      </c>
      <c r="I28" s="165" t="s">
        <v>161</v>
      </c>
      <c r="J28" s="118" t="s">
        <v>162</v>
      </c>
      <c r="K28" s="166"/>
      <c r="L28" s="166"/>
      <c r="M28" s="166"/>
    </row>
    <row r="29" spans="1:18" ht="18" customHeight="1">
      <c r="A29" s="442" t="s">
        <v>163</v>
      </c>
      <c r="B29" s="443"/>
      <c r="C29" s="444">
        <v>45878</v>
      </c>
      <c r="D29" s="446" t="s">
        <v>273</v>
      </c>
      <c r="E29" s="447"/>
      <c r="F29" s="455">
        <v>4000</v>
      </c>
      <c r="G29" s="430" t="s">
        <v>54</v>
      </c>
      <c r="H29" s="432">
        <f>VLOOKUP(D29,データ!B3:E87,2,FALSE)</f>
        <v>0.61</v>
      </c>
      <c r="I29" s="434">
        <f>H29*F29</f>
        <v>2440</v>
      </c>
      <c r="J29" s="464">
        <f>F29/50</f>
        <v>80</v>
      </c>
      <c r="K29" s="161"/>
      <c r="L29" s="83" t="s">
        <v>164</v>
      </c>
      <c r="M29" s="83" t="s">
        <v>165</v>
      </c>
      <c r="N29" s="89" t="s">
        <v>166</v>
      </c>
      <c r="O29" s="89" t="s">
        <v>167</v>
      </c>
      <c r="P29" s="83" t="s">
        <v>168</v>
      </c>
      <c r="Q29" s="119"/>
      <c r="R29" s="119"/>
    </row>
    <row r="30" spans="1:18" ht="18" customHeight="1">
      <c r="A30" s="457" t="s">
        <v>314</v>
      </c>
      <c r="B30" s="458"/>
      <c r="C30" s="452"/>
      <c r="D30" s="453"/>
      <c r="E30" s="454"/>
      <c r="F30" s="456"/>
      <c r="G30" s="439"/>
      <c r="H30" s="432"/>
      <c r="I30" s="434"/>
      <c r="J30" s="465"/>
      <c r="L30" s="159" t="s">
        <v>169</v>
      </c>
      <c r="M30" s="77">
        <v>0.71</v>
      </c>
      <c r="N30" s="62" t="s">
        <v>170</v>
      </c>
      <c r="O30" s="106" t="e">
        <f>VLOOKUP(L30,[1]原紙!$D$29:$F$62,3,FALSE)</f>
        <v>#N/A</v>
      </c>
      <c r="P30" s="120" t="e">
        <f>O30/180</f>
        <v>#N/A</v>
      </c>
      <c r="Q30" s="119"/>
      <c r="R30" s="119"/>
    </row>
    <row r="31" spans="1:18" ht="18" customHeight="1">
      <c r="A31" s="442" t="s">
        <v>163</v>
      </c>
      <c r="B31" s="443"/>
      <c r="C31" s="444">
        <f>C29</f>
        <v>45878</v>
      </c>
      <c r="D31" s="446" t="s">
        <v>249</v>
      </c>
      <c r="E31" s="447"/>
      <c r="F31" s="455">
        <v>10000</v>
      </c>
      <c r="G31" s="430" t="s">
        <v>54</v>
      </c>
      <c r="H31" s="432">
        <f>VLOOKUP(D31,データ!B5:E89,2,FALSE)</f>
        <v>0.23499999999999999</v>
      </c>
      <c r="I31" s="434">
        <f t="shared" ref="I31" si="0">H31*F31</f>
        <v>2350</v>
      </c>
      <c r="J31" s="438">
        <f>F31/500</f>
        <v>20</v>
      </c>
      <c r="L31" s="159" t="s">
        <v>172</v>
      </c>
      <c r="M31" s="77">
        <v>0.4</v>
      </c>
      <c r="N31" s="62" t="s">
        <v>170</v>
      </c>
      <c r="O31" s="106" t="e">
        <f>VLOOKUP(L31,[2]原紙!$D$29:$F$62,3,FALSE)</f>
        <v>#N/A</v>
      </c>
      <c r="P31" s="121" t="e">
        <f>O31/350</f>
        <v>#N/A</v>
      </c>
      <c r="Q31" s="119"/>
      <c r="R31" s="119"/>
    </row>
    <row r="32" spans="1:18" ht="18" customHeight="1">
      <c r="A32" s="457" t="str">
        <f>A30</f>
        <v>VN-JP 013</v>
      </c>
      <c r="B32" s="458"/>
      <c r="C32" s="452"/>
      <c r="D32" s="453"/>
      <c r="E32" s="454"/>
      <c r="F32" s="456"/>
      <c r="G32" s="439"/>
      <c r="H32" s="432"/>
      <c r="I32" s="434"/>
      <c r="J32" s="438"/>
      <c r="L32" s="159" t="s">
        <v>173</v>
      </c>
      <c r="M32" s="77">
        <v>0.5</v>
      </c>
      <c r="N32" s="62" t="s">
        <v>174</v>
      </c>
      <c r="O32" s="106" t="e">
        <f>VLOOKUP(L32,[2]原紙!$D$29:$F$62,3,FALSE)</f>
        <v>#N/A</v>
      </c>
      <c r="P32" s="122" t="e">
        <f>O32/50</f>
        <v>#N/A</v>
      </c>
      <c r="Q32" s="119"/>
      <c r="R32" s="119"/>
    </row>
    <row r="33" spans="1:18" ht="18" customHeight="1">
      <c r="A33" s="442" t="s">
        <v>163</v>
      </c>
      <c r="B33" s="443"/>
      <c r="C33" s="444">
        <f>C29</f>
        <v>45878</v>
      </c>
      <c r="D33" s="446" t="s">
        <v>293</v>
      </c>
      <c r="E33" s="447"/>
      <c r="F33" s="455">
        <v>9000</v>
      </c>
      <c r="G33" s="430" t="s">
        <v>54</v>
      </c>
      <c r="H33" s="432">
        <f>VLOOKUP(D33,データ!B9:E93,2,FALSE)</f>
        <v>0.251</v>
      </c>
      <c r="I33" s="434">
        <f t="shared" ref="I33" si="1">H33*F33</f>
        <v>2259</v>
      </c>
      <c r="J33" s="438">
        <f t="shared" ref="J33:J43" si="2">F33/500</f>
        <v>18</v>
      </c>
      <c r="K33" s="161"/>
      <c r="L33" s="159"/>
      <c r="M33" s="77"/>
      <c r="N33" s="62"/>
      <c r="O33" s="106"/>
      <c r="P33" s="124"/>
      <c r="Q33" s="123"/>
      <c r="R33" s="123"/>
    </row>
    <row r="34" spans="1:18" ht="18" customHeight="1">
      <c r="A34" s="457" t="str">
        <f>A30</f>
        <v>VN-JP 013</v>
      </c>
      <c r="B34" s="458"/>
      <c r="C34" s="452"/>
      <c r="D34" s="453"/>
      <c r="E34" s="454"/>
      <c r="F34" s="456"/>
      <c r="G34" s="439"/>
      <c r="H34" s="432"/>
      <c r="I34" s="434"/>
      <c r="J34" s="438"/>
      <c r="K34" s="161"/>
      <c r="L34" s="159"/>
      <c r="M34" s="77"/>
      <c r="N34" s="62"/>
      <c r="O34" s="106"/>
      <c r="P34" s="124"/>
      <c r="Q34" s="123"/>
      <c r="R34" s="123"/>
    </row>
    <row r="35" spans="1:18" ht="18" customHeight="1">
      <c r="A35" s="442" t="s">
        <v>163</v>
      </c>
      <c r="B35" s="443"/>
      <c r="C35" s="444">
        <f>C29</f>
        <v>45878</v>
      </c>
      <c r="D35" s="446" t="s">
        <v>217</v>
      </c>
      <c r="E35" s="447"/>
      <c r="F35" s="450">
        <v>11000</v>
      </c>
      <c r="G35" s="430" t="s">
        <v>54</v>
      </c>
      <c r="H35" s="432">
        <f>VLOOKUP(D35,データ!B11:E95,2,FALSE)</f>
        <v>0.223</v>
      </c>
      <c r="I35" s="434">
        <f>H35*F35</f>
        <v>2453</v>
      </c>
      <c r="J35" s="438">
        <f t="shared" si="2"/>
        <v>22</v>
      </c>
      <c r="K35" s="161"/>
      <c r="L35" s="107" t="s">
        <v>175</v>
      </c>
      <c r="M35" s="77">
        <v>3.6999999999999998E-2</v>
      </c>
      <c r="N35" s="62" t="s">
        <v>170</v>
      </c>
      <c r="O35" s="106" t="e">
        <f>VLOOKUP(L35,[1]原紙!$D$29:$F$62,3,FALSE)</f>
        <v>#N/A</v>
      </c>
      <c r="P35" s="125" t="e">
        <f>O35/3000</f>
        <v>#N/A</v>
      </c>
      <c r="Q35" s="123"/>
      <c r="R35" s="123"/>
    </row>
    <row r="36" spans="1:18" ht="18" customHeight="1">
      <c r="A36" s="457" t="str">
        <f>A30</f>
        <v>VN-JP 013</v>
      </c>
      <c r="B36" s="458"/>
      <c r="C36" s="452"/>
      <c r="D36" s="453"/>
      <c r="E36" s="454"/>
      <c r="F36" s="450"/>
      <c r="G36" s="439"/>
      <c r="H36" s="432"/>
      <c r="I36" s="434"/>
      <c r="J36" s="438"/>
      <c r="K36" s="161"/>
      <c r="L36" s="107" t="s">
        <v>176</v>
      </c>
      <c r="M36" s="77">
        <v>0.05</v>
      </c>
      <c r="N36" s="62" t="s">
        <v>170</v>
      </c>
      <c r="O36" s="106" t="e">
        <f>VLOOKUP(L36,[1]原紙!$D$29:$F$62,3,FALSE)</f>
        <v>#N/A</v>
      </c>
      <c r="P36" s="126" t="e">
        <f>O36/1500</f>
        <v>#N/A</v>
      </c>
      <c r="Q36" s="123"/>
      <c r="R36" s="123"/>
    </row>
    <row r="37" spans="1:18" ht="18" customHeight="1">
      <c r="A37" s="442" t="s">
        <v>163</v>
      </c>
      <c r="B37" s="443"/>
      <c r="C37" s="444">
        <f>C29</f>
        <v>45878</v>
      </c>
      <c r="D37" s="446" t="s">
        <v>218</v>
      </c>
      <c r="E37" s="447"/>
      <c r="F37" s="450">
        <v>11000</v>
      </c>
      <c r="G37" s="430" t="s">
        <v>54</v>
      </c>
      <c r="H37" s="432">
        <f>VLOOKUP(D37,データ!B13:E97,2,FALSE)</f>
        <v>0.223</v>
      </c>
      <c r="I37" s="434">
        <f t="shared" ref="I37" si="3">H37*F37</f>
        <v>2453</v>
      </c>
      <c r="J37" s="438">
        <f t="shared" si="2"/>
        <v>22</v>
      </c>
      <c r="K37" s="161"/>
      <c r="L37" s="107" t="s">
        <v>177</v>
      </c>
      <c r="M37" s="77">
        <v>7.0000000000000007E-2</v>
      </c>
      <c r="N37" s="62" t="s">
        <v>170</v>
      </c>
      <c r="O37" s="106" t="e">
        <f>VLOOKUP(L37,[1]原紙!$D$29:$F$62,3,FALSE)</f>
        <v>#N/A</v>
      </c>
      <c r="P37" s="126" t="e">
        <f>O37/1500</f>
        <v>#N/A</v>
      </c>
      <c r="Q37" s="123"/>
      <c r="R37" s="123"/>
    </row>
    <row r="38" spans="1:18" ht="18" customHeight="1">
      <c r="A38" s="457" t="str">
        <f>A30</f>
        <v>VN-JP 013</v>
      </c>
      <c r="B38" s="458"/>
      <c r="C38" s="452"/>
      <c r="D38" s="453"/>
      <c r="E38" s="454"/>
      <c r="F38" s="450"/>
      <c r="G38" s="439"/>
      <c r="H38" s="432"/>
      <c r="I38" s="434"/>
      <c r="J38" s="438"/>
      <c r="K38" s="161"/>
      <c r="L38" s="159" t="s">
        <v>178</v>
      </c>
      <c r="M38" s="77">
        <v>0.08</v>
      </c>
      <c r="N38" s="62" t="s">
        <v>170</v>
      </c>
      <c r="O38" s="106" t="e">
        <f>VLOOKUP(L38,[1]原紙!$D$29:$F$62,3,FALSE)</f>
        <v>#N/A</v>
      </c>
      <c r="P38" s="127" t="e">
        <f>O38/1000</f>
        <v>#N/A</v>
      </c>
      <c r="Q38" s="123"/>
      <c r="R38" s="123"/>
    </row>
    <row r="39" spans="1:18" ht="18" customHeight="1">
      <c r="A39" s="442" t="s">
        <v>163</v>
      </c>
      <c r="B39" s="443"/>
      <c r="C39" s="444">
        <f>C31</f>
        <v>45878</v>
      </c>
      <c r="D39" s="446" t="s">
        <v>186</v>
      </c>
      <c r="E39" s="447"/>
      <c r="F39" s="450">
        <v>25000</v>
      </c>
      <c r="G39" s="430" t="s">
        <v>54</v>
      </c>
      <c r="H39" s="432">
        <f>VLOOKUP(D39,データ!B15:E107,2,FALSE)</f>
        <v>0.224</v>
      </c>
      <c r="I39" s="434">
        <f t="shared" ref="I39:I45" si="4">H39*F39</f>
        <v>5600</v>
      </c>
      <c r="J39" s="438">
        <f t="shared" si="2"/>
        <v>50</v>
      </c>
      <c r="K39" s="161"/>
      <c r="L39" s="159" t="s">
        <v>179</v>
      </c>
      <c r="M39" s="77">
        <v>0.58699999999999997</v>
      </c>
      <c r="N39" s="62" t="s">
        <v>174</v>
      </c>
      <c r="O39" s="106" t="e">
        <f>VLOOKUP(L39,[1]原紙!$D$29:$F$62,3,FALSE)</f>
        <v>#N/A</v>
      </c>
      <c r="P39" s="122" t="e">
        <f>O39/50</f>
        <v>#N/A</v>
      </c>
      <c r="Q39" s="123"/>
      <c r="R39" s="123"/>
    </row>
    <row r="40" spans="1:18" ht="18" customHeight="1">
      <c r="A40" s="457" t="str">
        <f>A32</f>
        <v>VN-JP 013</v>
      </c>
      <c r="B40" s="458"/>
      <c r="C40" s="452"/>
      <c r="D40" s="453"/>
      <c r="E40" s="454"/>
      <c r="F40" s="450"/>
      <c r="G40" s="439"/>
      <c r="H40" s="432"/>
      <c r="I40" s="434"/>
      <c r="J40" s="438"/>
      <c r="K40" s="161"/>
      <c r="L40" s="159" t="s">
        <v>180</v>
      </c>
      <c r="M40" s="77">
        <v>2.875</v>
      </c>
      <c r="N40" s="62" t="s">
        <v>170</v>
      </c>
      <c r="O40" s="106">
        <f>VLOOKUP(L40,[1]原紙!$D$29:$F$62,3,FALSE)</f>
        <v>205</v>
      </c>
      <c r="P40" s="128">
        <f>O40/30</f>
        <v>6.833333333333333</v>
      </c>
      <c r="Q40" s="123"/>
      <c r="R40" s="123"/>
    </row>
    <row r="41" spans="1:18" ht="18" customHeight="1">
      <c r="A41" s="442" t="s">
        <v>163</v>
      </c>
      <c r="B41" s="443"/>
      <c r="C41" s="444">
        <f>C33</f>
        <v>45878</v>
      </c>
      <c r="D41" s="446" t="s">
        <v>296</v>
      </c>
      <c r="E41" s="447"/>
      <c r="F41" s="450">
        <v>4000</v>
      </c>
      <c r="G41" s="430" t="s">
        <v>54</v>
      </c>
      <c r="H41" s="432">
        <f>VLOOKUP(D41,データ!B19:E112,2,FALSE)</f>
        <v>0.21299999999999999</v>
      </c>
      <c r="I41" s="434">
        <f t="shared" si="4"/>
        <v>852</v>
      </c>
      <c r="J41" s="438">
        <f t="shared" si="2"/>
        <v>8</v>
      </c>
      <c r="K41" s="161"/>
      <c r="L41" s="159"/>
      <c r="M41" s="77"/>
      <c r="N41" s="62"/>
      <c r="O41" s="106"/>
      <c r="P41" s="128"/>
      <c r="Q41" s="123"/>
      <c r="R41" s="123"/>
    </row>
    <row r="42" spans="1:18" ht="18" customHeight="1">
      <c r="A42" s="457" t="str">
        <f>A34</f>
        <v>VN-JP 013</v>
      </c>
      <c r="B42" s="458"/>
      <c r="C42" s="452"/>
      <c r="D42" s="453"/>
      <c r="E42" s="454"/>
      <c r="F42" s="450"/>
      <c r="G42" s="439"/>
      <c r="H42" s="432"/>
      <c r="I42" s="434"/>
      <c r="J42" s="438"/>
      <c r="K42" s="161"/>
      <c r="L42" s="159"/>
      <c r="M42" s="77"/>
      <c r="N42" s="62"/>
      <c r="O42" s="106"/>
      <c r="P42" s="128"/>
      <c r="Q42" s="123"/>
      <c r="R42" s="123"/>
    </row>
    <row r="43" spans="1:18" ht="18" customHeight="1">
      <c r="A43" s="442" t="s">
        <v>163</v>
      </c>
      <c r="B43" s="443"/>
      <c r="C43" s="444">
        <f>C35</f>
        <v>45878</v>
      </c>
      <c r="D43" s="446" t="s">
        <v>297</v>
      </c>
      <c r="E43" s="447"/>
      <c r="F43" s="450">
        <v>4000</v>
      </c>
      <c r="G43" s="430" t="s">
        <v>54</v>
      </c>
      <c r="H43" s="432">
        <f>VLOOKUP(D43,データ!B21:E114,2,FALSE)</f>
        <v>0.223</v>
      </c>
      <c r="I43" s="434">
        <f t="shared" si="4"/>
        <v>892</v>
      </c>
      <c r="J43" s="438">
        <f t="shared" si="2"/>
        <v>8</v>
      </c>
      <c r="K43" s="161"/>
      <c r="L43" s="159"/>
      <c r="M43" s="77"/>
      <c r="N43" s="62"/>
      <c r="O43" s="106"/>
      <c r="P43" s="128"/>
      <c r="Q43" s="123"/>
      <c r="R43" s="123"/>
    </row>
    <row r="44" spans="1:18" ht="18" customHeight="1">
      <c r="A44" s="457" t="str">
        <f>A36</f>
        <v>VN-JP 013</v>
      </c>
      <c r="B44" s="458"/>
      <c r="C44" s="452"/>
      <c r="D44" s="453"/>
      <c r="E44" s="454"/>
      <c r="F44" s="450"/>
      <c r="G44" s="439"/>
      <c r="H44" s="432"/>
      <c r="I44" s="434"/>
      <c r="J44" s="438"/>
      <c r="K44" s="161"/>
      <c r="L44" s="159"/>
      <c r="M44" s="77"/>
      <c r="N44" s="62"/>
      <c r="O44" s="106"/>
      <c r="P44" s="128"/>
      <c r="Q44" s="123"/>
      <c r="R44" s="123"/>
    </row>
    <row r="45" spans="1:18" ht="18" customHeight="1">
      <c r="A45" s="442" t="s">
        <v>163</v>
      </c>
      <c r="B45" s="443"/>
      <c r="C45" s="444">
        <f>C39</f>
        <v>45878</v>
      </c>
      <c r="D45" s="446" t="s">
        <v>126</v>
      </c>
      <c r="E45" s="447"/>
      <c r="F45" s="450">
        <v>680</v>
      </c>
      <c r="G45" s="430" t="s">
        <v>54</v>
      </c>
      <c r="H45" s="432">
        <f>VLOOKUP(D45,データ!B25:E118,2,FALSE)</f>
        <v>1.22</v>
      </c>
      <c r="I45" s="434">
        <f t="shared" si="4"/>
        <v>829.6</v>
      </c>
      <c r="J45" s="441">
        <f>F45/100</f>
        <v>6.8</v>
      </c>
      <c r="K45" s="161"/>
      <c r="L45" s="159"/>
      <c r="M45" s="77"/>
      <c r="N45" s="62"/>
      <c r="O45" s="106"/>
      <c r="P45" s="128"/>
      <c r="Q45" s="123"/>
      <c r="R45" s="123"/>
    </row>
    <row r="46" spans="1:18" ht="18" customHeight="1">
      <c r="A46" s="457" t="str">
        <f>A40</f>
        <v>VN-JP 013</v>
      </c>
      <c r="B46" s="458"/>
      <c r="C46" s="452"/>
      <c r="D46" s="453"/>
      <c r="E46" s="454"/>
      <c r="F46" s="450"/>
      <c r="G46" s="439"/>
      <c r="H46" s="432"/>
      <c r="I46" s="434"/>
      <c r="J46" s="441"/>
      <c r="K46" s="161"/>
      <c r="L46" s="159"/>
      <c r="M46" s="77"/>
      <c r="N46" s="62"/>
      <c r="O46" s="106"/>
      <c r="P46" s="128"/>
      <c r="Q46" s="123"/>
      <c r="R46" s="123"/>
    </row>
    <row r="47" spans="1:18" ht="18" customHeight="1">
      <c r="A47" s="442" t="s">
        <v>163</v>
      </c>
      <c r="B47" s="443"/>
      <c r="C47" s="444">
        <f>C41</f>
        <v>45878</v>
      </c>
      <c r="D47" s="446" t="s">
        <v>309</v>
      </c>
      <c r="E47" s="447"/>
      <c r="F47" s="450">
        <v>240</v>
      </c>
      <c r="G47" s="430" t="s">
        <v>54</v>
      </c>
      <c r="H47" s="432">
        <f>VLOOKUP(D47,データ!B27:E120,2,FALSE)</f>
        <v>2.875</v>
      </c>
      <c r="I47" s="434">
        <f t="shared" ref="I47" si="5">H47*F47</f>
        <v>690</v>
      </c>
      <c r="J47" s="440">
        <f>F47/30</f>
        <v>8</v>
      </c>
      <c r="K47" s="161"/>
      <c r="L47" s="159"/>
      <c r="M47" s="77"/>
      <c r="N47" s="62"/>
      <c r="O47" s="106"/>
      <c r="P47" s="128"/>
      <c r="Q47" s="123"/>
      <c r="R47" s="123"/>
    </row>
    <row r="48" spans="1:18" ht="18" customHeight="1">
      <c r="A48" s="457" t="str">
        <f>A42</f>
        <v>VN-JP 013</v>
      </c>
      <c r="B48" s="458"/>
      <c r="C48" s="452"/>
      <c r="D48" s="453"/>
      <c r="E48" s="454"/>
      <c r="F48" s="450"/>
      <c r="G48" s="439"/>
      <c r="H48" s="432"/>
      <c r="I48" s="434"/>
      <c r="J48" s="440"/>
      <c r="K48" s="161"/>
      <c r="L48" s="159"/>
      <c r="M48" s="77"/>
      <c r="N48" s="62"/>
      <c r="O48" s="106"/>
      <c r="P48" s="128"/>
      <c r="Q48" s="123"/>
      <c r="R48" s="123"/>
    </row>
    <row r="49" spans="1:18" ht="18" customHeight="1">
      <c r="A49" s="442"/>
      <c r="B49" s="443"/>
      <c r="C49" s="444"/>
      <c r="D49" s="446"/>
      <c r="E49" s="447"/>
      <c r="F49" s="450"/>
      <c r="G49" s="430"/>
      <c r="H49" s="432"/>
      <c r="I49" s="434"/>
      <c r="J49" s="436"/>
      <c r="K49" s="161"/>
      <c r="L49" s="159"/>
      <c r="M49" s="77"/>
      <c r="N49" s="62"/>
      <c r="O49" s="106"/>
      <c r="P49" s="128"/>
      <c r="Q49" s="123"/>
      <c r="R49" s="123"/>
    </row>
    <row r="50" spans="1:18" ht="18" customHeight="1" thickBot="1">
      <c r="A50" s="468"/>
      <c r="B50" s="469"/>
      <c r="C50" s="445"/>
      <c r="D50" s="448"/>
      <c r="E50" s="449"/>
      <c r="F50" s="451"/>
      <c r="G50" s="431"/>
      <c r="H50" s="433"/>
      <c r="I50" s="435"/>
      <c r="J50" s="437"/>
      <c r="K50" s="161"/>
      <c r="L50" s="159"/>
      <c r="M50" s="77"/>
      <c r="N50" s="62"/>
      <c r="O50" s="106"/>
      <c r="P50" s="128"/>
      <c r="Q50" s="123"/>
      <c r="R50" s="123"/>
    </row>
    <row r="51" spans="1:18" ht="27.7" customHeight="1">
      <c r="H51" s="199" t="s">
        <v>181</v>
      </c>
      <c r="I51" s="200">
        <f>SUM(I29:I50)</f>
        <v>20818.599999999999</v>
      </c>
      <c r="L51" s="130" t="s">
        <v>182</v>
      </c>
      <c r="M51" s="77">
        <v>1.22</v>
      </c>
      <c r="N51" s="62" t="s">
        <v>170</v>
      </c>
      <c r="O51" s="106">
        <f>VLOOKUP(L51,[1]原紙!$D$29:$F$62,3,FALSE)</f>
        <v>10080</v>
      </c>
      <c r="P51" s="131">
        <f>O51/360</f>
        <v>28</v>
      </c>
    </row>
    <row r="52" spans="1:18" ht="29.3" customHeight="1">
      <c r="H52" s="132" t="s">
        <v>183</v>
      </c>
      <c r="I52" s="133">
        <f>I51*0</f>
        <v>0</v>
      </c>
      <c r="L52" s="130" t="s">
        <v>184</v>
      </c>
      <c r="M52" s="77">
        <v>1.22</v>
      </c>
      <c r="N52" s="62" t="s">
        <v>170</v>
      </c>
      <c r="O52" s="106">
        <f>VLOOKUP(L52,[1]原紙!$D$29:$F$62,3,FALSE)</f>
        <v>10260</v>
      </c>
      <c r="P52" s="134">
        <f>O52/540</f>
        <v>19</v>
      </c>
    </row>
    <row r="53" spans="1:18" ht="27.7" customHeight="1" thickBot="1">
      <c r="A53" s="166"/>
      <c r="B53" s="166"/>
      <c r="C53" s="166"/>
      <c r="D53" s="109"/>
      <c r="E53" s="135"/>
      <c r="H53" s="136" t="s">
        <v>185</v>
      </c>
      <c r="I53" s="137">
        <f>I51+I52</f>
        <v>20818.599999999999</v>
      </c>
      <c r="L53" s="130" t="s">
        <v>104</v>
      </c>
      <c r="M53" s="77">
        <v>0.34</v>
      </c>
      <c r="N53" s="62" t="s">
        <v>170</v>
      </c>
      <c r="O53" s="106">
        <f>VLOOKUP(L53,[1]原紙!$D$29:$F$62,3,FALSE)</f>
        <v>22320</v>
      </c>
      <c r="P53" s="131">
        <f>O53/360</f>
        <v>62</v>
      </c>
    </row>
    <row r="54" spans="1:18" ht="27.1" customHeight="1">
      <c r="A54" s="38"/>
      <c r="C54" s="166"/>
      <c r="D54" s="166"/>
      <c r="E54" s="167"/>
      <c r="H54" s="138"/>
      <c r="L54" s="159" t="s">
        <v>105</v>
      </c>
      <c r="M54" s="77">
        <v>0.20799999999999999</v>
      </c>
      <c r="N54" s="62" t="s">
        <v>170</v>
      </c>
      <c r="O54" s="106" t="e">
        <f>VLOOKUP(L54,[1]原紙!$D$29:$F$62,3,FALSE)</f>
        <v>#N/A</v>
      </c>
      <c r="P54" s="129" t="e">
        <f>O54/500</f>
        <v>#N/A</v>
      </c>
    </row>
    <row r="55" spans="1:18" ht="27.1" customHeight="1">
      <c r="A55" s="38"/>
      <c r="C55" s="166"/>
      <c r="D55" s="166"/>
      <c r="E55" s="167"/>
      <c r="H55" s="138"/>
      <c r="L55" s="159" t="s">
        <v>186</v>
      </c>
      <c r="M55" s="77">
        <v>0.17799999999999999</v>
      </c>
      <c r="N55" s="62" t="s">
        <v>170</v>
      </c>
      <c r="O55" s="106" t="e">
        <f>VLOOKUP(L55,[1]原紙!$D$29:$F$62,3,FALSE)</f>
        <v>#N/A</v>
      </c>
      <c r="P55" s="129" t="e">
        <f>O55/500</f>
        <v>#N/A</v>
      </c>
    </row>
    <row r="56" spans="1:18" ht="27.1" customHeight="1">
      <c r="A56" s="38"/>
      <c r="C56" s="166"/>
      <c r="D56" s="166"/>
      <c r="E56" s="167"/>
      <c r="H56" s="138"/>
      <c r="L56" s="161"/>
      <c r="M56" s="139"/>
      <c r="N56" s="140"/>
      <c r="O56" s="141"/>
      <c r="P56" s="142"/>
    </row>
    <row r="57" spans="1:18" ht="162.80000000000001" customHeight="1">
      <c r="A57" s="38"/>
      <c r="C57" s="166"/>
      <c r="D57" s="166"/>
      <c r="E57" s="167"/>
      <c r="H57" s="138"/>
      <c r="L57" s="161"/>
      <c r="M57" s="139"/>
      <c r="N57" s="140"/>
      <c r="O57" s="141"/>
      <c r="P57" s="142"/>
    </row>
    <row r="58" spans="1:18" ht="3.8" customHeight="1">
      <c r="A58" s="466"/>
      <c r="B58" s="466"/>
      <c r="C58" s="166"/>
      <c r="D58" s="466"/>
      <c r="E58" s="467"/>
      <c r="F58" s="143"/>
      <c r="G58" s="138"/>
      <c r="H58" s="138"/>
      <c r="I58" s="138"/>
      <c r="J58" s="143"/>
      <c r="K58" s="143"/>
      <c r="L58" s="161"/>
      <c r="M58" s="139"/>
      <c r="N58" s="140"/>
      <c r="O58" s="141"/>
      <c r="P58" s="144"/>
    </row>
    <row r="59" spans="1:18" ht="20.05" customHeight="1">
      <c r="A59" s="466"/>
      <c r="B59" s="466"/>
      <c r="C59" s="145"/>
      <c r="D59" s="466"/>
      <c r="E59" s="466"/>
      <c r="F59" s="146"/>
      <c r="G59" s="147"/>
      <c r="I59" s="148"/>
      <c r="J59" s="149"/>
      <c r="K59" s="150"/>
      <c r="L59" s="161"/>
      <c r="M59" s="139"/>
      <c r="N59" s="140"/>
      <c r="O59" s="141"/>
      <c r="P59" s="151"/>
    </row>
    <row r="60" spans="1:18" ht="20.05" customHeight="1">
      <c r="A60" s="466"/>
      <c r="B60" s="466"/>
      <c r="C60" s="145"/>
      <c r="D60" s="466"/>
      <c r="E60" s="466"/>
      <c r="F60" s="146"/>
      <c r="G60" s="147"/>
      <c r="H60" s="148"/>
      <c r="I60" s="148"/>
      <c r="J60" s="149"/>
      <c r="K60" s="150"/>
      <c r="L60" s="161"/>
      <c r="M60" s="139"/>
      <c r="N60" s="140"/>
      <c r="O60" s="141"/>
      <c r="P60" s="151"/>
    </row>
    <row r="61" spans="1:18" ht="20.05" customHeight="1">
      <c r="A61" s="466"/>
      <c r="B61" s="466"/>
      <c r="C61" s="145"/>
      <c r="D61" s="466"/>
      <c r="E61" s="466"/>
      <c r="F61" s="146"/>
      <c r="G61" s="147"/>
      <c r="H61" s="148"/>
      <c r="I61" s="148"/>
      <c r="J61" s="149"/>
      <c r="K61" s="150"/>
      <c r="L61" s="161"/>
      <c r="M61" s="139"/>
      <c r="N61" s="140"/>
      <c r="O61" s="141"/>
      <c r="P61" s="151"/>
    </row>
    <row r="62" spans="1:18" ht="20.05" customHeight="1">
      <c r="A62" s="466"/>
      <c r="B62" s="466"/>
      <c r="C62" s="145"/>
      <c r="D62" s="466"/>
      <c r="E62" s="466"/>
      <c r="F62" s="146"/>
      <c r="G62" s="147"/>
      <c r="H62" s="148"/>
      <c r="I62" s="149"/>
      <c r="J62" s="150"/>
      <c r="L62" s="161"/>
      <c r="M62" s="139"/>
      <c r="N62" s="140"/>
      <c r="O62" s="141"/>
      <c r="P62" s="151"/>
    </row>
    <row r="63" spans="1:18" ht="20.05" customHeight="1">
      <c r="A63" s="466"/>
      <c r="B63" s="466"/>
      <c r="C63" s="466"/>
      <c r="D63" s="466"/>
      <c r="E63" s="466"/>
      <c r="F63" s="466"/>
      <c r="G63" s="466"/>
      <c r="H63" s="466"/>
      <c r="I63" s="466"/>
      <c r="J63" s="149"/>
      <c r="L63" s="161"/>
      <c r="M63" s="139"/>
      <c r="N63" s="140"/>
      <c r="O63" s="141"/>
      <c r="P63" s="151"/>
    </row>
    <row r="64" spans="1:18" ht="20.05" customHeight="1">
      <c r="A64" s="166"/>
      <c r="B64" s="166"/>
      <c r="C64" s="166"/>
      <c r="D64" s="166"/>
      <c r="E64" s="167"/>
      <c r="F64" s="161"/>
      <c r="G64" s="161"/>
      <c r="H64" s="138"/>
      <c r="I64" s="161"/>
      <c r="L64" s="161"/>
      <c r="M64" s="139"/>
      <c r="N64" s="140"/>
      <c r="O64" s="141"/>
      <c r="P64" s="151"/>
    </row>
    <row r="65" spans="2:16">
      <c r="L65" s="143"/>
      <c r="M65" s="139"/>
      <c r="N65" s="140"/>
      <c r="O65" s="141"/>
      <c r="P65" s="152"/>
    </row>
    <row r="66" spans="2:16">
      <c r="B66" s="278"/>
      <c r="C66" s="278"/>
      <c r="L66" s="143"/>
      <c r="M66" s="139"/>
      <c r="N66" s="140"/>
      <c r="O66" s="141"/>
      <c r="P66" s="152"/>
    </row>
    <row r="67" spans="2:16">
      <c r="J67" s="153"/>
      <c r="L67" s="161"/>
      <c r="M67" s="139"/>
      <c r="N67" s="140"/>
      <c r="O67" s="141"/>
      <c r="P67" s="152"/>
    </row>
    <row r="68" spans="2:16">
      <c r="D68" s="154"/>
      <c r="L68" s="161"/>
      <c r="M68" s="139"/>
      <c r="N68" s="140"/>
      <c r="O68" s="141"/>
      <c r="P68" s="152"/>
    </row>
    <row r="69" spans="2:16">
      <c r="I69" s="153"/>
      <c r="L69" s="161"/>
      <c r="M69" s="139"/>
      <c r="N69" s="140"/>
      <c r="O69" s="141"/>
      <c r="P69" s="152"/>
    </row>
    <row r="70" spans="2:16">
      <c r="L70" s="161"/>
      <c r="M70" s="139"/>
      <c r="N70" s="140"/>
      <c r="O70" s="141"/>
      <c r="P70" s="155"/>
    </row>
    <row r="71" spans="2:16">
      <c r="L71" s="161"/>
      <c r="M71" s="139"/>
      <c r="N71" s="140"/>
      <c r="O71" s="141"/>
      <c r="P71" s="156"/>
    </row>
    <row r="72" spans="2:16">
      <c r="L72" s="161"/>
      <c r="M72" s="139"/>
      <c r="N72" s="140"/>
      <c r="O72" s="141"/>
      <c r="P72" s="156"/>
    </row>
  </sheetData>
  <mergeCells count="114">
    <mergeCell ref="A63:I63"/>
    <mergeCell ref="B66:C66"/>
    <mergeCell ref="A58:B58"/>
    <mergeCell ref="D58:E58"/>
    <mergeCell ref="A59:B59"/>
    <mergeCell ref="D59:E59"/>
    <mergeCell ref="A60:B60"/>
    <mergeCell ref="D60:E60"/>
    <mergeCell ref="J39:J40"/>
    <mergeCell ref="A40:B40"/>
    <mergeCell ref="A39:B39"/>
    <mergeCell ref="C39:C40"/>
    <mergeCell ref="D39:E40"/>
    <mergeCell ref="F39:F40"/>
    <mergeCell ref="G39:G40"/>
    <mergeCell ref="H39:H40"/>
    <mergeCell ref="I39:I40"/>
    <mergeCell ref="A62:B62"/>
    <mergeCell ref="D62:E62"/>
    <mergeCell ref="A61:B61"/>
    <mergeCell ref="D61:E61"/>
    <mergeCell ref="A42:B42"/>
    <mergeCell ref="A50:B50"/>
    <mergeCell ref="D43:E44"/>
    <mergeCell ref="I31:I32"/>
    <mergeCell ref="J31:J32"/>
    <mergeCell ref="A47:B47"/>
    <mergeCell ref="C47:C48"/>
    <mergeCell ref="D47:E48"/>
    <mergeCell ref="A48:B48"/>
    <mergeCell ref="J35:J36"/>
    <mergeCell ref="A36:B36"/>
    <mergeCell ref="A37:B37"/>
    <mergeCell ref="C37:C38"/>
    <mergeCell ref="D37:E38"/>
    <mergeCell ref="F37:F38"/>
    <mergeCell ref="G37:G38"/>
    <mergeCell ref="H37:H38"/>
    <mergeCell ref="I37:I38"/>
    <mergeCell ref="J37:J38"/>
    <mergeCell ref="A35:B35"/>
    <mergeCell ref="C35:C36"/>
    <mergeCell ref="D35:E36"/>
    <mergeCell ref="F35:F36"/>
    <mergeCell ref="G35:G36"/>
    <mergeCell ref="H35:H36"/>
    <mergeCell ref="I35:I36"/>
    <mergeCell ref="A38:B38"/>
    <mergeCell ref="I33:I34"/>
    <mergeCell ref="J33:J34"/>
    <mergeCell ref="A34:B34"/>
    <mergeCell ref="A2:J6"/>
    <mergeCell ref="A28:B28"/>
    <mergeCell ref="D28:E28"/>
    <mergeCell ref="A29:B29"/>
    <mergeCell ref="C29:C30"/>
    <mergeCell ref="D29:E30"/>
    <mergeCell ref="F29:F30"/>
    <mergeCell ref="G29:G30"/>
    <mergeCell ref="H29:H30"/>
    <mergeCell ref="I29:I30"/>
    <mergeCell ref="H33:H34"/>
    <mergeCell ref="G33:G34"/>
    <mergeCell ref="A32:B32"/>
    <mergeCell ref="J29:J30"/>
    <mergeCell ref="A30:B30"/>
    <mergeCell ref="A31:B31"/>
    <mergeCell ref="C31:C32"/>
    <mergeCell ref="D31:E32"/>
    <mergeCell ref="F31:F32"/>
    <mergeCell ref="G31:G32"/>
    <mergeCell ref="H31:H32"/>
    <mergeCell ref="A49:B49"/>
    <mergeCell ref="C49:C50"/>
    <mergeCell ref="D49:E50"/>
    <mergeCell ref="F49:F50"/>
    <mergeCell ref="A33:B33"/>
    <mergeCell ref="C33:C34"/>
    <mergeCell ref="D33:E34"/>
    <mergeCell ref="F33:F34"/>
    <mergeCell ref="A41:B41"/>
    <mergeCell ref="C41:C42"/>
    <mergeCell ref="F47:F48"/>
    <mergeCell ref="A43:B43"/>
    <mergeCell ref="C43:C44"/>
    <mergeCell ref="A44:B44"/>
    <mergeCell ref="D41:E42"/>
    <mergeCell ref="F41:F42"/>
    <mergeCell ref="F43:F44"/>
    <mergeCell ref="A45:B45"/>
    <mergeCell ref="C45:C46"/>
    <mergeCell ref="A46:B46"/>
    <mergeCell ref="D45:E46"/>
    <mergeCell ref="F45:F46"/>
    <mergeCell ref="G49:G50"/>
    <mergeCell ref="H49:H50"/>
    <mergeCell ref="I49:I50"/>
    <mergeCell ref="J49:J50"/>
    <mergeCell ref="J41:J42"/>
    <mergeCell ref="J43:J44"/>
    <mergeCell ref="G41:G42"/>
    <mergeCell ref="G43:G44"/>
    <mergeCell ref="H41:H42"/>
    <mergeCell ref="H43:H44"/>
    <mergeCell ref="I41:I42"/>
    <mergeCell ref="I43:I44"/>
    <mergeCell ref="G47:G48"/>
    <mergeCell ref="H47:H48"/>
    <mergeCell ref="I47:I48"/>
    <mergeCell ref="J47:J48"/>
    <mergeCell ref="J45:J46"/>
    <mergeCell ref="G45:G46"/>
    <mergeCell ref="H45:H46"/>
    <mergeCell ref="I45:I46"/>
  </mergeCells>
  <phoneticPr fontId="56" type="noConversion"/>
  <pageMargins left="0.41" right="0.16" top="0.16" bottom="0.16" header="0.16" footer="0.16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データ!$B$2:$B$106</xm:f>
          </x14:formula1>
          <xm:sqref>D29:E50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105"/>
  <sheetViews>
    <sheetView workbookViewId="0">
      <selection activeCell="C18" sqref="C18"/>
    </sheetView>
  </sheetViews>
  <sheetFormatPr defaultRowHeight="13.8"/>
  <cols>
    <col min="2" max="2" width="35.77734375" customWidth="1"/>
    <col min="3" max="3" width="39.88671875" customWidth="1"/>
  </cols>
  <sheetData>
    <row r="3" spans="1:3" ht="30.05" customHeight="1">
      <c r="A3" s="362" t="s">
        <v>110</v>
      </c>
      <c r="B3" s="362"/>
      <c r="C3" s="91" t="s">
        <v>111</v>
      </c>
    </row>
    <row r="4" spans="1:3" ht="14.4">
      <c r="A4" s="470" t="s">
        <v>112</v>
      </c>
      <c r="B4" s="470"/>
      <c r="C4" s="47">
        <v>39161020</v>
      </c>
    </row>
    <row r="5" spans="1:3" ht="14.4">
      <c r="A5" s="470" t="s">
        <v>113</v>
      </c>
      <c r="B5" s="470"/>
      <c r="C5" s="47">
        <v>39161020</v>
      </c>
    </row>
    <row r="6" spans="1:3" ht="14.4">
      <c r="A6" s="470" t="s">
        <v>114</v>
      </c>
      <c r="B6" s="470"/>
      <c r="C6" s="47">
        <v>39169099</v>
      </c>
    </row>
    <row r="7" spans="1:3" ht="15.65">
      <c r="A7" s="470" t="s">
        <v>115</v>
      </c>
      <c r="B7" s="470"/>
      <c r="C7" s="47">
        <v>39169099</v>
      </c>
    </row>
    <row r="8" spans="1:3" ht="15.65">
      <c r="A8" s="470" t="s">
        <v>116</v>
      </c>
      <c r="B8" s="470"/>
      <c r="C8" s="47">
        <v>39169099</v>
      </c>
    </row>
    <row r="9" spans="1:3" ht="15.65">
      <c r="A9" s="470" t="s">
        <v>117</v>
      </c>
      <c r="B9" s="470"/>
      <c r="C9" s="47">
        <v>39169099</v>
      </c>
    </row>
    <row r="10" spans="1:3" ht="15.65">
      <c r="A10" s="470" t="s">
        <v>118</v>
      </c>
      <c r="B10" s="470"/>
      <c r="C10" s="47">
        <v>39169099</v>
      </c>
    </row>
    <row r="11" spans="1:3" ht="14.4">
      <c r="A11" s="470" t="s">
        <v>119</v>
      </c>
      <c r="B11" s="470"/>
      <c r="C11" s="47">
        <v>39269049</v>
      </c>
    </row>
    <row r="12" spans="1:3" ht="14.4">
      <c r="A12" s="470" t="s">
        <v>120</v>
      </c>
      <c r="B12" s="470"/>
      <c r="C12" s="47">
        <v>39169099</v>
      </c>
    </row>
    <row r="13" spans="1:3" ht="14.4">
      <c r="A13" s="470" t="s">
        <v>121</v>
      </c>
      <c r="B13" s="470"/>
      <c r="C13" s="47">
        <v>39169099</v>
      </c>
    </row>
    <row r="14" spans="1:3" ht="14.4">
      <c r="A14" s="471" t="s">
        <v>122</v>
      </c>
      <c r="B14" s="471"/>
      <c r="C14" s="75">
        <v>39169099</v>
      </c>
    </row>
    <row r="15" spans="1:3" ht="14.4">
      <c r="A15" s="292" t="s">
        <v>123</v>
      </c>
      <c r="B15" s="292"/>
      <c r="C15" s="51">
        <v>39169099</v>
      </c>
    </row>
    <row r="16" spans="1:3" ht="14.4">
      <c r="A16" s="292" t="s">
        <v>124</v>
      </c>
      <c r="B16" s="292"/>
      <c r="C16" s="159">
        <v>39169099</v>
      </c>
    </row>
    <row r="17" spans="1:3" ht="14.4">
      <c r="A17" s="292" t="s">
        <v>125</v>
      </c>
      <c r="B17" s="292"/>
      <c r="C17" s="159">
        <v>39169099</v>
      </c>
    </row>
    <row r="18" spans="1:3" ht="14.4">
      <c r="A18" s="292" t="s">
        <v>126</v>
      </c>
      <c r="B18" s="292"/>
      <c r="C18" s="51">
        <v>39173290</v>
      </c>
    </row>
    <row r="105" spans="3:3">
      <c r="C105">
        <f>SUM(C74:C104)</f>
        <v>0</v>
      </c>
    </row>
  </sheetData>
  <mergeCells count="16">
    <mergeCell ref="A18:B18"/>
    <mergeCell ref="A10:B10"/>
    <mergeCell ref="A8:B8"/>
    <mergeCell ref="A9:B9"/>
    <mergeCell ref="A3:B3"/>
    <mergeCell ref="A4:B4"/>
    <mergeCell ref="A5:B5"/>
    <mergeCell ref="A6:B6"/>
    <mergeCell ref="A7:B7"/>
    <mergeCell ref="A15:B15"/>
    <mergeCell ref="A13:B13"/>
    <mergeCell ref="A14:B14"/>
    <mergeCell ref="A12:B12"/>
    <mergeCell ref="A11:B11"/>
    <mergeCell ref="A17:B17"/>
    <mergeCell ref="A16:B16"/>
  </mergeCells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12"/>
  <sheetViews>
    <sheetView showZeros="0" topLeftCell="B1" workbookViewId="0">
      <pane xSplit="4" ySplit="2" topLeftCell="F54" activePane="bottomRight" state="frozen"/>
      <selection activeCell="B1" sqref="B1"/>
      <selection pane="topRight" activeCell="F1" sqref="F1"/>
      <selection pane="bottomLeft" activeCell="B3" sqref="B3"/>
      <selection pane="bottomRight" activeCell="C59" sqref="C59"/>
    </sheetView>
  </sheetViews>
  <sheetFormatPr defaultColWidth="9" defaultRowHeight="14.4"/>
  <cols>
    <col min="1" max="1" width="6.77734375" style="21" customWidth="1"/>
    <col min="2" max="2" width="38.88671875" style="21" customWidth="1"/>
    <col min="3" max="3" width="9.77734375" style="21" bestFit="1" customWidth="1"/>
    <col min="4" max="4" width="9" style="21"/>
    <col min="5" max="5" width="19.21875" style="21" customWidth="1"/>
    <col min="6" max="12" width="10.33203125" style="21" customWidth="1"/>
    <col min="13" max="13" width="10.6640625" style="21" bestFit="1" customWidth="1"/>
    <col min="14" max="15" width="10.33203125" style="21" customWidth="1"/>
    <col min="16" max="16" width="17.33203125" style="21" customWidth="1"/>
    <col min="17" max="16384" width="9" style="21"/>
  </cols>
  <sheetData>
    <row r="2" spans="1:15" ht="23.95" customHeight="1">
      <c r="A2" s="83" t="s">
        <v>187</v>
      </c>
      <c r="B2" s="83" t="s">
        <v>188</v>
      </c>
      <c r="C2" s="83" t="s">
        <v>189</v>
      </c>
      <c r="D2" s="84" t="s">
        <v>190</v>
      </c>
      <c r="E2" s="83" t="s">
        <v>191</v>
      </c>
      <c r="F2" s="83" t="s">
        <v>192</v>
      </c>
      <c r="G2" s="83" t="s">
        <v>193</v>
      </c>
      <c r="H2" s="83" t="s">
        <v>194</v>
      </c>
      <c r="I2" s="83" t="s">
        <v>65</v>
      </c>
      <c r="J2" s="83" t="s">
        <v>66</v>
      </c>
      <c r="K2" s="83" t="s">
        <v>195</v>
      </c>
      <c r="L2" s="89" t="s">
        <v>196</v>
      </c>
      <c r="M2" s="89" t="s">
        <v>276</v>
      </c>
      <c r="N2" s="89" t="s">
        <v>277</v>
      </c>
      <c r="O2" s="193"/>
    </row>
    <row r="3" spans="1:15" ht="20.05" customHeight="1">
      <c r="A3" s="159">
        <v>1</v>
      </c>
      <c r="B3" s="159" t="s">
        <v>112</v>
      </c>
      <c r="C3" s="77">
        <v>0.78</v>
      </c>
      <c r="D3" s="53">
        <v>100</v>
      </c>
      <c r="E3" s="78">
        <v>180</v>
      </c>
      <c r="F3" s="159">
        <f>_xlfn.IFNA(VLOOKUP(B3,'PACKING LIST'!$B$35:$F$54,5,FALSE),0)</f>
        <v>0</v>
      </c>
      <c r="G3" s="106">
        <f>ROUNDUP(F3/E3,0)</f>
        <v>0</v>
      </c>
      <c r="H3" s="57">
        <f>F3*D3/1000</f>
        <v>0</v>
      </c>
      <c r="I3" s="64">
        <f>G3*6*0.4/1000</f>
        <v>0</v>
      </c>
      <c r="J3" s="64">
        <f t="shared" ref="J3:J7" si="0">G3*0.7</f>
        <v>0</v>
      </c>
      <c r="K3" s="62">
        <f>J3+I3+H3</f>
        <v>0</v>
      </c>
      <c r="L3" s="62" t="s">
        <v>58</v>
      </c>
      <c r="M3" s="161">
        <v>39161020</v>
      </c>
      <c r="N3" s="140" t="s">
        <v>278</v>
      </c>
      <c r="O3" s="140"/>
    </row>
    <row r="4" spans="1:15" ht="20.05" customHeight="1">
      <c r="A4" s="159">
        <f>A3+1</f>
        <v>2</v>
      </c>
      <c r="B4" s="159" t="s">
        <v>113</v>
      </c>
      <c r="C4" s="77">
        <f>0.44</f>
        <v>0.44</v>
      </c>
      <c r="D4" s="53">
        <v>53</v>
      </c>
      <c r="E4" s="78">
        <v>350</v>
      </c>
      <c r="F4" s="159">
        <f>_xlfn.IFNA(VLOOKUP(B4,'PACKING LIST'!$B$35:$F$54,5,FALSE),0)</f>
        <v>0</v>
      </c>
      <c r="G4" s="106">
        <f>ROUNDUP(F4/E4,0)</f>
        <v>0</v>
      </c>
      <c r="H4" s="57">
        <f t="shared" ref="H4:H8" si="1">F4*D4/1000</f>
        <v>0</v>
      </c>
      <c r="I4" s="64">
        <f>G4*7*0.4/1000</f>
        <v>0</v>
      </c>
      <c r="J4" s="64">
        <f t="shared" si="0"/>
        <v>0</v>
      </c>
      <c r="K4" s="62">
        <f t="shared" ref="K4:K44" si="2">J4+I4+H4</f>
        <v>0</v>
      </c>
      <c r="L4" s="62" t="s">
        <v>58</v>
      </c>
      <c r="M4" s="161">
        <v>39161020</v>
      </c>
      <c r="N4" s="140" t="s">
        <v>278</v>
      </c>
      <c r="O4" s="140"/>
    </row>
    <row r="5" spans="1:15" ht="20.05" customHeight="1">
      <c r="A5" s="159">
        <v>3</v>
      </c>
      <c r="B5" s="159" t="s">
        <v>197</v>
      </c>
      <c r="C5" s="77">
        <v>0.49</v>
      </c>
      <c r="D5" s="92">
        <v>60</v>
      </c>
      <c r="E5" s="78">
        <v>360</v>
      </c>
      <c r="F5" s="159">
        <f>_xlfn.IFNA(VLOOKUP(B5,'PACKING LIST'!$B$35:$F$54,5,FALSE),0)</f>
        <v>0</v>
      </c>
      <c r="G5" s="106">
        <f t="shared" ref="G5" si="3">ROUNDUP(F5/E5,0)</f>
        <v>0</v>
      </c>
      <c r="H5" s="57">
        <f t="shared" si="1"/>
        <v>0</v>
      </c>
      <c r="I5" s="64">
        <f>G5*7*0.4/1000</f>
        <v>0</v>
      </c>
      <c r="J5" s="64">
        <f t="shared" si="0"/>
        <v>0</v>
      </c>
      <c r="K5" s="62">
        <f t="shared" ref="K5" si="4">J5+I5+H5</f>
        <v>0</v>
      </c>
      <c r="L5" s="62" t="s">
        <v>58</v>
      </c>
      <c r="M5" s="161">
        <v>39161020</v>
      </c>
      <c r="N5" s="140" t="s">
        <v>278</v>
      </c>
      <c r="O5" s="140"/>
    </row>
    <row r="6" spans="1:15" ht="20.05" customHeight="1">
      <c r="A6" s="159">
        <f>A5+1</f>
        <v>4</v>
      </c>
      <c r="B6" s="159" t="s">
        <v>103</v>
      </c>
      <c r="C6" s="77">
        <f>0.38</f>
        <v>0.38</v>
      </c>
      <c r="D6" s="92">
        <v>43</v>
      </c>
      <c r="E6" s="78">
        <v>360</v>
      </c>
      <c r="F6" s="159">
        <f>_xlfn.IFNA(VLOOKUP(B6,'PACKING LIST'!$B$35:$F$54,5,FALSE),0)</f>
        <v>0</v>
      </c>
      <c r="G6" s="106">
        <f t="shared" ref="G6:G9" si="5">ROUNDUP(F6/E6,0)</f>
        <v>0</v>
      </c>
      <c r="H6" s="57">
        <f t="shared" si="1"/>
        <v>0</v>
      </c>
      <c r="I6" s="64">
        <f>G6*7*0.4/1000</f>
        <v>0</v>
      </c>
      <c r="J6" s="64">
        <f t="shared" si="0"/>
        <v>0</v>
      </c>
      <c r="K6" s="62">
        <f>J6+I6+H6</f>
        <v>0</v>
      </c>
      <c r="L6" s="62" t="s">
        <v>58</v>
      </c>
      <c r="M6" s="161">
        <v>39161020</v>
      </c>
      <c r="N6" s="140" t="s">
        <v>278</v>
      </c>
      <c r="O6" s="140"/>
    </row>
    <row r="7" spans="1:15" ht="20.05" customHeight="1">
      <c r="A7" s="159">
        <f t="shared" ref="A7:A107" si="6">A6+1</f>
        <v>5</v>
      </c>
      <c r="B7" s="159" t="s">
        <v>102</v>
      </c>
      <c r="C7" s="77">
        <f>0.25</f>
        <v>0.25</v>
      </c>
      <c r="D7" s="92">
        <v>28</v>
      </c>
      <c r="E7" s="78">
        <v>540</v>
      </c>
      <c r="F7" s="159">
        <f>_xlfn.IFNA(VLOOKUP(B7,'PACKING LIST'!$B$35:$F$54,5,FALSE),0)</f>
        <v>0</v>
      </c>
      <c r="G7" s="106">
        <f t="shared" si="5"/>
        <v>0</v>
      </c>
      <c r="H7" s="57">
        <f t="shared" si="1"/>
        <v>0</v>
      </c>
      <c r="I7" s="64">
        <f>G7*7*0.4/1000</f>
        <v>0</v>
      </c>
      <c r="J7" s="64">
        <f t="shared" si="0"/>
        <v>0</v>
      </c>
      <c r="K7" s="62">
        <f t="shared" ref="K7" si="7">J7+I7+H7</f>
        <v>0</v>
      </c>
      <c r="L7" s="62" t="s">
        <v>58</v>
      </c>
      <c r="M7" s="161">
        <v>39161020</v>
      </c>
      <c r="N7" s="140" t="s">
        <v>278</v>
      </c>
      <c r="O7" s="140"/>
    </row>
    <row r="8" spans="1:15" ht="20.05" customHeight="1">
      <c r="A8" s="159">
        <f t="shared" si="6"/>
        <v>6</v>
      </c>
      <c r="B8" s="159" t="s">
        <v>104</v>
      </c>
      <c r="C8" s="77">
        <f>0.38</f>
        <v>0.38</v>
      </c>
      <c r="D8" s="92">
        <v>43</v>
      </c>
      <c r="E8" s="78">
        <v>360</v>
      </c>
      <c r="F8" s="159">
        <f>_xlfn.IFNA(VLOOKUP(B8,'PACKING LIST'!$B$35:$F$54,5,FALSE),0)</f>
        <v>0</v>
      </c>
      <c r="G8" s="106">
        <f>ROUNDUP(F8/E8,0)</f>
        <v>0</v>
      </c>
      <c r="H8" s="57">
        <f t="shared" si="1"/>
        <v>0</v>
      </c>
      <c r="I8" s="64">
        <f>G8*7*0.4/1000</f>
        <v>0</v>
      </c>
      <c r="J8" s="64">
        <f>G8*0.7</f>
        <v>0</v>
      </c>
      <c r="K8" s="62">
        <f t="shared" ref="K8" si="8">J8+I8+H8</f>
        <v>0</v>
      </c>
      <c r="L8" s="62" t="s">
        <v>58</v>
      </c>
      <c r="M8" s="161">
        <v>39161020</v>
      </c>
      <c r="N8" s="140" t="s">
        <v>278</v>
      </c>
      <c r="O8" s="140"/>
    </row>
    <row r="9" spans="1:15" ht="20.05" customHeight="1">
      <c r="A9" s="159">
        <f t="shared" si="6"/>
        <v>7</v>
      </c>
      <c r="B9" s="159" t="s">
        <v>114</v>
      </c>
      <c r="C9" s="180">
        <v>0.61</v>
      </c>
      <c r="D9" s="194">
        <f>3.9/50*1000</f>
        <v>78</v>
      </c>
      <c r="E9" s="79">
        <v>50</v>
      </c>
      <c r="F9" s="159">
        <f>_xlfn.IFNA(VLOOKUP(B9,'PACKING LIST'!$B$35:$F$54,5,FALSE),0)</f>
        <v>4000</v>
      </c>
      <c r="G9" s="106">
        <f t="shared" si="5"/>
        <v>80</v>
      </c>
      <c r="H9" s="57">
        <f>G9*D9</f>
        <v>6240</v>
      </c>
      <c r="I9" s="64"/>
      <c r="J9" s="64">
        <f>G9*0</f>
        <v>0</v>
      </c>
      <c r="K9" s="62">
        <f>J9+I9+H9</f>
        <v>6240</v>
      </c>
      <c r="L9" s="62" t="s">
        <v>128</v>
      </c>
      <c r="M9" s="161">
        <v>39169092</v>
      </c>
      <c r="N9" s="140" t="s">
        <v>278</v>
      </c>
      <c r="O9" s="140"/>
    </row>
    <row r="10" spans="1:15" ht="20.05" customHeight="1">
      <c r="A10" s="159">
        <f t="shared" si="6"/>
        <v>8</v>
      </c>
      <c r="B10" s="159" t="s">
        <v>198</v>
      </c>
      <c r="C10" s="77">
        <v>1.0999999999999999E-2</v>
      </c>
      <c r="D10" s="90">
        <v>0.7</v>
      </c>
      <c r="E10" s="78">
        <v>20000</v>
      </c>
      <c r="F10" s="159">
        <f>_xlfn.IFNA(VLOOKUP(B10,'PACKING LIST'!$B$35:$F$54,5,FALSE),0)</f>
        <v>0</v>
      </c>
      <c r="G10" s="106">
        <f t="shared" ref="G10:G44" si="9">ROUNDUP(F10/E10,0)</f>
        <v>0</v>
      </c>
      <c r="H10" s="57">
        <f t="shared" ref="H10:H13" si="10">F10*D10/1000</f>
        <v>0</v>
      </c>
      <c r="I10" s="64"/>
      <c r="J10" s="64">
        <f t="shared" ref="J10:J27" si="11">G10*0.7</f>
        <v>0</v>
      </c>
      <c r="K10" s="62">
        <f t="shared" si="2"/>
        <v>0</v>
      </c>
      <c r="L10" s="62" t="s">
        <v>58</v>
      </c>
      <c r="M10" s="161">
        <v>39169092</v>
      </c>
      <c r="N10" s="140" t="s">
        <v>278</v>
      </c>
      <c r="O10" s="140"/>
    </row>
    <row r="11" spans="1:15" ht="20.05" customHeight="1">
      <c r="A11" s="159">
        <f t="shared" si="6"/>
        <v>9</v>
      </c>
      <c r="B11" s="159" t="s">
        <v>292</v>
      </c>
      <c r="C11" s="77">
        <v>0.01</v>
      </c>
      <c r="D11" s="90">
        <v>0.7</v>
      </c>
      <c r="E11" s="78">
        <v>20000</v>
      </c>
      <c r="F11" s="159">
        <f>_xlfn.IFNA(VLOOKUP(B11,'PACKING LIST'!$B$35:$F$54,5,FALSE),0)</f>
        <v>0</v>
      </c>
      <c r="G11" s="106">
        <f t="shared" ref="G11" si="12">ROUNDUP(F11/E11,0)</f>
        <v>0</v>
      </c>
      <c r="H11" s="57">
        <f t="shared" ref="H11" si="13">F11*D11/1000</f>
        <v>0</v>
      </c>
      <c r="I11" s="64"/>
      <c r="J11" s="64">
        <f t="shared" ref="J11" si="14">G11*0.7</f>
        <v>0</v>
      </c>
      <c r="K11" s="62">
        <f t="shared" ref="K11" si="15">J11+I11+H11</f>
        <v>0</v>
      </c>
      <c r="L11" s="62" t="s">
        <v>58</v>
      </c>
      <c r="M11" s="161">
        <v>39169092</v>
      </c>
      <c r="N11" s="140" t="s">
        <v>278</v>
      </c>
      <c r="O11" s="140"/>
    </row>
    <row r="12" spans="1:15" ht="20.05" customHeight="1">
      <c r="A12" s="159">
        <f>A10+1</f>
        <v>9</v>
      </c>
      <c r="B12" s="159" t="s">
        <v>290</v>
      </c>
      <c r="C12" s="77">
        <v>1.2999999999999999E-2</v>
      </c>
      <c r="D12" s="90">
        <v>0.7</v>
      </c>
      <c r="E12" s="78">
        <v>20000</v>
      </c>
      <c r="F12" s="159">
        <f>_xlfn.IFNA(VLOOKUP(B12,'PACKING LIST'!$B$35:$F$54,5,FALSE),0)</f>
        <v>0</v>
      </c>
      <c r="G12" s="106">
        <f t="shared" ref="G12" si="16">ROUNDUP(F12/E12,0)</f>
        <v>0</v>
      </c>
      <c r="H12" s="57">
        <f t="shared" ref="H12" si="17">F12*D12/1000</f>
        <v>0</v>
      </c>
      <c r="I12" s="64"/>
      <c r="J12" s="64">
        <f t="shared" ref="J12" si="18">G12*0.7</f>
        <v>0</v>
      </c>
      <c r="K12" s="62">
        <f t="shared" ref="K12" si="19">J12+I12+H12</f>
        <v>0</v>
      </c>
      <c r="L12" s="62" t="s">
        <v>58</v>
      </c>
      <c r="M12" s="161">
        <v>39169092</v>
      </c>
      <c r="N12" s="140" t="s">
        <v>278</v>
      </c>
      <c r="O12" s="140"/>
    </row>
    <row r="13" spans="1:15" ht="20.05" customHeight="1">
      <c r="A13" s="159">
        <f>A10+1</f>
        <v>9</v>
      </c>
      <c r="B13" s="159" t="s">
        <v>199</v>
      </c>
      <c r="C13" s="77">
        <v>1.2999999999999999E-2</v>
      </c>
      <c r="D13" s="53">
        <v>0.8</v>
      </c>
      <c r="E13" s="78">
        <v>20000</v>
      </c>
      <c r="F13" s="159">
        <f>_xlfn.IFNA(VLOOKUP(B13,'PACKING LIST'!$B$35:$F$54,5,FALSE),0)</f>
        <v>0</v>
      </c>
      <c r="G13" s="106">
        <f t="shared" si="9"/>
        <v>0</v>
      </c>
      <c r="H13" s="57">
        <f t="shared" si="10"/>
        <v>0</v>
      </c>
      <c r="I13" s="64"/>
      <c r="J13" s="64">
        <f t="shared" si="11"/>
        <v>0</v>
      </c>
      <c r="K13" s="62">
        <f t="shared" si="2"/>
        <v>0</v>
      </c>
      <c r="L13" s="62" t="s">
        <v>58</v>
      </c>
      <c r="M13" s="161">
        <v>39169092</v>
      </c>
      <c r="N13" s="140" t="s">
        <v>278</v>
      </c>
      <c r="O13" s="140"/>
    </row>
    <row r="14" spans="1:15" ht="20.05" customHeight="1">
      <c r="A14" s="159">
        <f>A12+1</f>
        <v>10</v>
      </c>
      <c r="B14" s="159" t="s">
        <v>291</v>
      </c>
      <c r="C14" s="77">
        <v>1.4999999999999999E-2</v>
      </c>
      <c r="D14" s="53">
        <v>0.8</v>
      </c>
      <c r="E14" s="78">
        <v>20000</v>
      </c>
      <c r="F14" s="159">
        <f>_xlfn.IFNA(VLOOKUP(B14,'PACKING LIST'!$B$35:$F$54,5,FALSE),0)</f>
        <v>0</v>
      </c>
      <c r="G14" s="106">
        <f t="shared" ref="G14" si="20">ROUNDUP(F14/E14,0)</f>
        <v>0</v>
      </c>
      <c r="H14" s="57">
        <f t="shared" ref="H14" si="21">F14*D14/1000</f>
        <v>0</v>
      </c>
      <c r="I14" s="64"/>
      <c r="J14" s="64">
        <f t="shared" ref="J14" si="22">G14*0.7</f>
        <v>0</v>
      </c>
      <c r="K14" s="62">
        <f t="shared" ref="K14" si="23">J14+I14+H14</f>
        <v>0</v>
      </c>
      <c r="L14" s="62" t="s">
        <v>58</v>
      </c>
      <c r="M14" s="161">
        <v>39169092</v>
      </c>
      <c r="N14" s="140" t="s">
        <v>278</v>
      </c>
      <c r="O14" s="140"/>
    </row>
    <row r="15" spans="1:15" ht="20.05" customHeight="1">
      <c r="A15" s="159"/>
      <c r="B15" s="159" t="s">
        <v>285</v>
      </c>
      <c r="C15" s="77">
        <v>0.01</v>
      </c>
      <c r="D15" s="53">
        <v>0.8</v>
      </c>
      <c r="E15" s="78">
        <v>20000</v>
      </c>
      <c r="F15" s="159">
        <f>_xlfn.IFNA(VLOOKUP(B15,'PACKING LIST'!$B$35:$F$54,5,FALSE),0)</f>
        <v>0</v>
      </c>
      <c r="G15" s="106">
        <f t="shared" ref="G15:G20" si="24">ROUNDUP(F15/E15,0)</f>
        <v>0</v>
      </c>
      <c r="H15" s="57">
        <f>F15*D15/1000</f>
        <v>0</v>
      </c>
      <c r="I15" s="64"/>
      <c r="J15" s="64">
        <f t="shared" ref="J15:J18" si="25">G15*0.7</f>
        <v>0</v>
      </c>
      <c r="K15" s="62">
        <f>J15+I15+H15</f>
        <v>0</v>
      </c>
      <c r="L15" s="62" t="s">
        <v>58</v>
      </c>
      <c r="M15" s="161">
        <v>39169092</v>
      </c>
      <c r="N15" s="140" t="s">
        <v>278</v>
      </c>
      <c r="O15" s="140"/>
    </row>
    <row r="16" spans="1:15" ht="20.05" customHeight="1">
      <c r="A16" s="159"/>
      <c r="B16" s="159" t="s">
        <v>286</v>
      </c>
      <c r="C16" s="77">
        <v>0.01</v>
      </c>
      <c r="D16" s="53">
        <v>0.8</v>
      </c>
      <c r="E16" s="78">
        <v>20000</v>
      </c>
      <c r="F16" s="159">
        <f>_xlfn.IFNA(VLOOKUP(B16,'PACKING LIST'!$B$35:$F$54,5,FALSE),0)</f>
        <v>0</v>
      </c>
      <c r="G16" s="106">
        <f t="shared" si="24"/>
        <v>0</v>
      </c>
      <c r="H16" s="57">
        <f>F16*D16/1000</f>
        <v>0</v>
      </c>
      <c r="I16" s="64"/>
      <c r="J16" s="64">
        <f t="shared" si="25"/>
        <v>0</v>
      </c>
      <c r="K16" s="62">
        <f>J16+I16+H16</f>
        <v>0</v>
      </c>
      <c r="L16" s="62" t="s">
        <v>58</v>
      </c>
      <c r="M16" s="161">
        <v>39169092</v>
      </c>
      <c r="N16" s="140" t="s">
        <v>278</v>
      </c>
      <c r="O16" s="140"/>
    </row>
    <row r="17" spans="1:15" ht="20.05" customHeight="1">
      <c r="A17" s="159"/>
      <c r="B17" s="159" t="s">
        <v>287</v>
      </c>
      <c r="C17" s="77">
        <v>0.01</v>
      </c>
      <c r="D17" s="53">
        <v>0.8</v>
      </c>
      <c r="E17" s="78">
        <v>20000</v>
      </c>
      <c r="F17" s="159">
        <f>_xlfn.IFNA(VLOOKUP(B17,'PACKING LIST'!$B$35:$F$54,5,FALSE),0)</f>
        <v>0</v>
      </c>
      <c r="G17" s="106">
        <f t="shared" si="24"/>
        <v>0</v>
      </c>
      <c r="H17" s="57">
        <f>F17*D17/1000</f>
        <v>0</v>
      </c>
      <c r="I17" s="64"/>
      <c r="J17" s="64">
        <f t="shared" si="25"/>
        <v>0</v>
      </c>
      <c r="K17" s="62">
        <f>J17+I17+H17</f>
        <v>0</v>
      </c>
      <c r="L17" s="62" t="s">
        <v>58</v>
      </c>
      <c r="M17" s="161">
        <v>39169092</v>
      </c>
      <c r="N17" s="140" t="s">
        <v>278</v>
      </c>
      <c r="O17" s="140"/>
    </row>
    <row r="18" spans="1:15" ht="20.05" customHeight="1">
      <c r="A18" s="159"/>
      <c r="B18" s="159" t="s">
        <v>288</v>
      </c>
      <c r="C18" s="77">
        <v>1.2999999999999999E-2</v>
      </c>
      <c r="D18" s="53">
        <v>0.8</v>
      </c>
      <c r="E18" s="78">
        <v>20000</v>
      </c>
      <c r="F18" s="159">
        <f>_xlfn.IFNA(VLOOKUP(B18,'PACKING LIST'!$B$35:$F$54,5,FALSE),0)</f>
        <v>0</v>
      </c>
      <c r="G18" s="106">
        <f t="shared" si="24"/>
        <v>0</v>
      </c>
      <c r="H18" s="57">
        <f>F18*D18/1000</f>
        <v>0</v>
      </c>
      <c r="I18" s="64"/>
      <c r="J18" s="64">
        <f t="shared" si="25"/>
        <v>0</v>
      </c>
      <c r="K18" s="62">
        <f>J18+I18+H18</f>
        <v>0</v>
      </c>
      <c r="L18" s="62" t="s">
        <v>58</v>
      </c>
      <c r="M18" s="161">
        <v>39169092</v>
      </c>
      <c r="N18" s="140" t="s">
        <v>278</v>
      </c>
      <c r="O18" s="140"/>
    </row>
    <row r="19" spans="1:15" ht="20.05" customHeight="1">
      <c r="A19" s="159">
        <f>A13+1</f>
        <v>10</v>
      </c>
      <c r="B19" s="159" t="s">
        <v>115</v>
      </c>
      <c r="C19" s="77">
        <v>1.2999999999999999E-2</v>
      </c>
      <c r="D19" s="53">
        <v>0.8</v>
      </c>
      <c r="E19" s="78">
        <v>20000</v>
      </c>
      <c r="F19" s="159">
        <f>_xlfn.IFNA(VLOOKUP(B19,'PACKING LIST'!$B$35:$F$54,5,FALSE),0)</f>
        <v>0</v>
      </c>
      <c r="G19" s="106">
        <f t="shared" si="24"/>
        <v>0</v>
      </c>
      <c r="H19" s="57">
        <f>F19*D19/1000</f>
        <v>0</v>
      </c>
      <c r="I19" s="64"/>
      <c r="J19" s="64">
        <f t="shared" si="11"/>
        <v>0</v>
      </c>
      <c r="K19" s="62">
        <f>J19+I19+H19</f>
        <v>0</v>
      </c>
      <c r="L19" s="62" t="s">
        <v>58</v>
      </c>
      <c r="M19" s="161">
        <v>39169092</v>
      </c>
      <c r="N19" s="140" t="s">
        <v>278</v>
      </c>
      <c r="O19" s="140"/>
    </row>
    <row r="20" spans="1:15" ht="20.05" customHeight="1">
      <c r="A20" s="159">
        <f t="shared" si="6"/>
        <v>11</v>
      </c>
      <c r="B20" s="159" t="s">
        <v>116</v>
      </c>
      <c r="C20" s="77">
        <v>1.2999999999999999E-2</v>
      </c>
      <c r="D20" s="53">
        <v>1.1000000000000001</v>
      </c>
      <c r="E20" s="78">
        <v>10000</v>
      </c>
      <c r="F20" s="159">
        <f>_xlfn.IFNA(VLOOKUP(B20,'PACKING LIST'!$B$35:$F$54,5,FALSE),0)</f>
        <v>0</v>
      </c>
      <c r="G20" s="106">
        <f t="shared" si="24"/>
        <v>0</v>
      </c>
      <c r="H20" s="57">
        <f t="shared" ref="H20:H27" si="26">F20*D20/1000</f>
        <v>0</v>
      </c>
      <c r="I20" s="64"/>
      <c r="J20" s="64">
        <f t="shared" si="11"/>
        <v>0</v>
      </c>
      <c r="K20" s="62">
        <f t="shared" si="2"/>
        <v>0</v>
      </c>
      <c r="L20" s="62" t="s">
        <v>58</v>
      </c>
      <c r="M20" s="161">
        <v>39169092</v>
      </c>
      <c r="N20" s="140" t="s">
        <v>278</v>
      </c>
      <c r="O20" s="140"/>
    </row>
    <row r="21" spans="1:15" ht="20.05" customHeight="1">
      <c r="A21" s="159">
        <f>A19+1</f>
        <v>11</v>
      </c>
      <c r="B21" s="159" t="s">
        <v>289</v>
      </c>
      <c r="C21" s="77">
        <v>1.2999999999999999E-2</v>
      </c>
      <c r="D21" s="53">
        <v>1.1000000000000001</v>
      </c>
      <c r="E21" s="78">
        <v>10000</v>
      </c>
      <c r="F21" s="159">
        <f>_xlfn.IFNA(VLOOKUP(B21,'PACKING LIST'!$B$35:$F$54,5,FALSE),0)</f>
        <v>0</v>
      </c>
      <c r="G21" s="106">
        <f t="shared" ref="G21" si="27">ROUNDUP(F21/E21,0)</f>
        <v>0</v>
      </c>
      <c r="H21" s="57">
        <f t="shared" ref="H21" si="28">F21*D21/1000</f>
        <v>0</v>
      </c>
      <c r="I21" s="64"/>
      <c r="J21" s="64">
        <f t="shared" ref="J21" si="29">G21*0.7</f>
        <v>0</v>
      </c>
      <c r="K21" s="62">
        <f t="shared" ref="K21" si="30">J21+I21+H21</f>
        <v>0</v>
      </c>
      <c r="L21" s="62" t="s">
        <v>58</v>
      </c>
      <c r="M21" s="161">
        <v>39169092</v>
      </c>
      <c r="N21" s="140" t="s">
        <v>278</v>
      </c>
      <c r="O21" s="140"/>
    </row>
    <row r="22" spans="1:15" ht="20.05" customHeight="1">
      <c r="A22" s="159">
        <f>A20+1</f>
        <v>12</v>
      </c>
      <c r="B22" s="159" t="s">
        <v>117</v>
      </c>
      <c r="C22" s="197">
        <v>1.6E-2</v>
      </c>
      <c r="D22" s="53">
        <v>1.1000000000000001</v>
      </c>
      <c r="E22" s="78">
        <v>10000</v>
      </c>
      <c r="F22" s="159">
        <f>_xlfn.IFNA(VLOOKUP(B22,'PACKING LIST'!$B$35:$F$54,5,FALSE),0)</f>
        <v>0</v>
      </c>
      <c r="G22" s="106">
        <f t="shared" si="9"/>
        <v>0</v>
      </c>
      <c r="H22" s="57">
        <f t="shared" si="26"/>
        <v>0</v>
      </c>
      <c r="I22" s="64"/>
      <c r="J22" s="64">
        <f t="shared" si="11"/>
        <v>0</v>
      </c>
      <c r="K22" s="62">
        <f t="shared" si="2"/>
        <v>0</v>
      </c>
      <c r="L22" s="62" t="s">
        <v>58</v>
      </c>
      <c r="M22" s="161">
        <v>39169092</v>
      </c>
      <c r="N22" s="140" t="s">
        <v>278</v>
      </c>
      <c r="O22" s="140"/>
    </row>
    <row r="23" spans="1:15" ht="20.05" customHeight="1">
      <c r="A23" s="159">
        <f t="shared" si="6"/>
        <v>13</v>
      </c>
      <c r="B23" s="159" t="s">
        <v>118</v>
      </c>
      <c r="C23" s="77">
        <v>5.2999999999999999E-2</v>
      </c>
      <c r="D23" s="53">
        <v>3.7</v>
      </c>
      <c r="E23" s="78">
        <v>5000</v>
      </c>
      <c r="F23" s="159">
        <f>_xlfn.IFNA(VLOOKUP(B23,'PACKING LIST'!$B$35:$F$54,5,FALSE),0)</f>
        <v>0</v>
      </c>
      <c r="G23" s="106">
        <f>ROUNDUP(F23/E23,0)</f>
        <v>0</v>
      </c>
      <c r="H23" s="57">
        <f t="shared" si="26"/>
        <v>0</v>
      </c>
      <c r="I23" s="64"/>
      <c r="J23" s="64">
        <f t="shared" si="11"/>
        <v>0</v>
      </c>
      <c r="K23" s="62">
        <f t="shared" si="2"/>
        <v>0</v>
      </c>
      <c r="L23" s="62" t="s">
        <v>58</v>
      </c>
      <c r="M23" s="161">
        <v>39169092</v>
      </c>
      <c r="N23" s="140" t="s">
        <v>278</v>
      </c>
      <c r="O23" s="140"/>
    </row>
    <row r="24" spans="1:15" ht="20.05" customHeight="1">
      <c r="A24" s="159">
        <f t="shared" si="6"/>
        <v>14</v>
      </c>
      <c r="B24" s="159" t="s">
        <v>200</v>
      </c>
      <c r="C24" s="77">
        <v>3.6999999999999998E-2</v>
      </c>
      <c r="D24" s="53">
        <v>4.3</v>
      </c>
      <c r="E24" s="78">
        <v>3000</v>
      </c>
      <c r="F24" s="159">
        <f>_xlfn.IFNA(VLOOKUP(B24,'PACKING LIST'!$B$35:$F$54,5,FALSE),0)</f>
        <v>0</v>
      </c>
      <c r="G24" s="106">
        <f t="shared" si="9"/>
        <v>0</v>
      </c>
      <c r="H24" s="57">
        <f t="shared" si="26"/>
        <v>0</v>
      </c>
      <c r="I24" s="64"/>
      <c r="J24" s="64">
        <f>G24*0.7</f>
        <v>0</v>
      </c>
      <c r="K24" s="62">
        <f t="shared" si="2"/>
        <v>0</v>
      </c>
      <c r="L24" s="62" t="s">
        <v>58</v>
      </c>
      <c r="M24" s="161">
        <v>39269049</v>
      </c>
      <c r="N24" s="140" t="s">
        <v>279</v>
      </c>
      <c r="O24" s="140"/>
    </row>
    <row r="25" spans="1:15" ht="20.05" customHeight="1">
      <c r="A25" s="159">
        <f t="shared" si="6"/>
        <v>15</v>
      </c>
      <c r="B25" s="159" t="s">
        <v>176</v>
      </c>
      <c r="C25" s="77">
        <v>0.05</v>
      </c>
      <c r="D25" s="53">
        <v>5.5</v>
      </c>
      <c r="E25" s="78">
        <v>1500</v>
      </c>
      <c r="F25" s="159">
        <f>_xlfn.IFNA(VLOOKUP(B25,'PACKING LIST'!$B$35:$F$54,5,FALSE),0)</f>
        <v>0</v>
      </c>
      <c r="G25" s="106">
        <f>ROUNDUP(F25/E25,0)</f>
        <v>0</v>
      </c>
      <c r="H25" s="57">
        <f t="shared" si="26"/>
        <v>0</v>
      </c>
      <c r="I25" s="64"/>
      <c r="J25" s="64">
        <f>G25*0.7</f>
        <v>0</v>
      </c>
      <c r="K25" s="62">
        <f t="shared" si="2"/>
        <v>0</v>
      </c>
      <c r="L25" s="62" t="s">
        <v>58</v>
      </c>
      <c r="M25" s="161">
        <v>39269049</v>
      </c>
      <c r="N25" s="140" t="s">
        <v>279</v>
      </c>
      <c r="O25" s="140"/>
    </row>
    <row r="26" spans="1:15" ht="20.05" customHeight="1">
      <c r="A26" s="159">
        <f t="shared" si="6"/>
        <v>16</v>
      </c>
      <c r="B26" s="159" t="s">
        <v>177</v>
      </c>
      <c r="C26" s="77">
        <v>7.0000000000000007E-2</v>
      </c>
      <c r="D26" s="53">
        <v>7.2</v>
      </c>
      <c r="E26" s="78">
        <v>1500</v>
      </c>
      <c r="F26" s="159">
        <f>_xlfn.IFNA(VLOOKUP(B26,'PACKING LIST'!$B$35:$F$54,5,FALSE),0)</f>
        <v>0</v>
      </c>
      <c r="G26" s="106">
        <f t="shared" si="9"/>
        <v>0</v>
      </c>
      <c r="H26" s="57">
        <f t="shared" si="26"/>
        <v>0</v>
      </c>
      <c r="I26" s="64"/>
      <c r="J26" s="64">
        <f t="shared" si="11"/>
        <v>0</v>
      </c>
      <c r="K26" s="62">
        <f t="shared" si="2"/>
        <v>0</v>
      </c>
      <c r="L26" s="62" t="s">
        <v>58</v>
      </c>
      <c r="M26" s="161">
        <v>39269049</v>
      </c>
      <c r="N26" s="140" t="s">
        <v>279</v>
      </c>
      <c r="O26" s="140"/>
    </row>
    <row r="27" spans="1:15" ht="20.05" customHeight="1">
      <c r="A27" s="159">
        <f t="shared" si="6"/>
        <v>17</v>
      </c>
      <c r="B27" s="159" t="s">
        <v>201</v>
      </c>
      <c r="C27" s="77">
        <v>0.08</v>
      </c>
      <c r="D27" s="53">
        <v>12.4</v>
      </c>
      <c r="E27" s="78">
        <v>1000</v>
      </c>
      <c r="F27" s="159">
        <f>_xlfn.IFNA(VLOOKUP(B27,'PACKING LIST'!$B$35:$F$54,5,FALSE),0)</f>
        <v>0</v>
      </c>
      <c r="G27" s="106">
        <f t="shared" si="9"/>
        <v>0</v>
      </c>
      <c r="H27" s="57">
        <f t="shared" si="26"/>
        <v>0</v>
      </c>
      <c r="I27" s="64"/>
      <c r="J27" s="64">
        <f t="shared" si="11"/>
        <v>0</v>
      </c>
      <c r="K27" s="62">
        <f t="shared" si="2"/>
        <v>0</v>
      </c>
      <c r="L27" s="62" t="s">
        <v>58</v>
      </c>
      <c r="M27" s="161">
        <v>39269049</v>
      </c>
      <c r="N27" s="140" t="s">
        <v>279</v>
      </c>
      <c r="O27" s="140"/>
    </row>
    <row r="28" spans="1:15" ht="20.05" customHeight="1">
      <c r="A28" s="159">
        <f t="shared" si="6"/>
        <v>18</v>
      </c>
      <c r="B28" s="159" t="s">
        <v>120</v>
      </c>
      <c r="C28" s="77">
        <v>0.58699999999999997</v>
      </c>
      <c r="D28" s="60">
        <v>8.4</v>
      </c>
      <c r="E28" s="79">
        <v>50</v>
      </c>
      <c r="F28" s="159">
        <f>_xlfn.IFNA(VLOOKUP(B28,'PACKING LIST'!$B$35:$F$54,5,FALSE),0)</f>
        <v>0</v>
      </c>
      <c r="G28" s="106">
        <f t="shared" si="9"/>
        <v>0</v>
      </c>
      <c r="H28" s="57">
        <f>F28*D28</f>
        <v>0</v>
      </c>
      <c r="I28" s="64"/>
      <c r="J28" s="64">
        <f>G28*0</f>
        <v>0</v>
      </c>
      <c r="K28" s="62">
        <f t="shared" si="2"/>
        <v>0</v>
      </c>
      <c r="L28" s="62" t="s">
        <v>128</v>
      </c>
      <c r="M28" s="161">
        <v>39169092</v>
      </c>
      <c r="N28" s="140" t="s">
        <v>278</v>
      </c>
      <c r="O28" s="140"/>
    </row>
    <row r="29" spans="1:15" ht="20.05" customHeight="1">
      <c r="A29" s="159">
        <f t="shared" si="6"/>
        <v>19</v>
      </c>
      <c r="B29" s="159" t="s">
        <v>121</v>
      </c>
      <c r="C29" s="77">
        <v>2.875</v>
      </c>
      <c r="D29" s="65">
        <f>4140*167/1000</f>
        <v>691.38</v>
      </c>
      <c r="E29" s="78">
        <v>30</v>
      </c>
      <c r="F29" s="159">
        <f>_xlfn.IFNA(VLOOKUP(B29,'PACKING LIST'!$B$35:$F$54,5,FALSE),0)</f>
        <v>240</v>
      </c>
      <c r="G29" s="106">
        <f t="shared" si="9"/>
        <v>8</v>
      </c>
      <c r="H29" s="57">
        <f>F29*D29</f>
        <v>165931.20000000001</v>
      </c>
      <c r="I29" s="64"/>
      <c r="J29" s="64">
        <f>G29*1</f>
        <v>8</v>
      </c>
      <c r="K29" s="62">
        <f t="shared" si="2"/>
        <v>165939.20000000001</v>
      </c>
      <c r="L29" s="62" t="s">
        <v>58</v>
      </c>
      <c r="M29" s="161">
        <v>39169092</v>
      </c>
      <c r="N29" s="140" t="s">
        <v>278</v>
      </c>
      <c r="O29" s="140"/>
    </row>
    <row r="30" spans="1:15" ht="20.05" customHeight="1">
      <c r="A30" s="159">
        <f t="shared" si="6"/>
        <v>20</v>
      </c>
      <c r="B30" s="159" t="s">
        <v>122</v>
      </c>
      <c r="C30" s="77">
        <v>3.0169999999999999</v>
      </c>
      <c r="D30" s="65">
        <f>4416*167/1000</f>
        <v>737.47199999999998</v>
      </c>
      <c r="E30" s="78">
        <v>30</v>
      </c>
      <c r="F30" s="159">
        <f>_xlfn.IFNA(VLOOKUP(B30,'PACKING LIST'!$B$35:$F$54,5,FALSE),0)</f>
        <v>0</v>
      </c>
      <c r="G30" s="106">
        <f t="shared" si="9"/>
        <v>0</v>
      </c>
      <c r="H30" s="57">
        <f>F30*D30</f>
        <v>0</v>
      </c>
      <c r="I30" s="64"/>
      <c r="J30" s="64">
        <f t="shared" ref="J30:J40" si="31">G30*1</f>
        <v>0</v>
      </c>
      <c r="K30" s="62">
        <f t="shared" si="2"/>
        <v>0</v>
      </c>
      <c r="L30" s="62" t="s">
        <v>58</v>
      </c>
      <c r="M30" s="161">
        <v>39169092</v>
      </c>
      <c r="N30" s="140" t="s">
        <v>278</v>
      </c>
      <c r="O30" s="140"/>
    </row>
    <row r="31" spans="1:15" ht="20.05" customHeight="1">
      <c r="A31" s="159">
        <f t="shared" si="6"/>
        <v>21</v>
      </c>
      <c r="B31" s="159" t="s">
        <v>202</v>
      </c>
      <c r="C31" s="77">
        <v>3.2290000000000001</v>
      </c>
      <c r="D31" s="65">
        <f>0.77*1000</f>
        <v>770</v>
      </c>
      <c r="E31" s="78">
        <v>30</v>
      </c>
      <c r="F31" s="159">
        <f>_xlfn.IFNA(VLOOKUP(B31,'PACKING LIST'!$B$35:$F$54,5,FALSE),0)</f>
        <v>0</v>
      </c>
      <c r="G31" s="106">
        <f t="shared" si="9"/>
        <v>0</v>
      </c>
      <c r="H31" s="57">
        <f t="shared" ref="H31:H34" si="32">F31*D31</f>
        <v>0</v>
      </c>
      <c r="I31" s="64"/>
      <c r="J31" s="64">
        <f t="shared" si="31"/>
        <v>0</v>
      </c>
      <c r="K31" s="62">
        <f t="shared" si="2"/>
        <v>0</v>
      </c>
      <c r="L31" s="62" t="s">
        <v>58</v>
      </c>
      <c r="M31" s="161">
        <v>39169092</v>
      </c>
      <c r="N31" s="140" t="s">
        <v>278</v>
      </c>
      <c r="O31" s="140"/>
    </row>
    <row r="32" spans="1:15" ht="20.05" customHeight="1">
      <c r="A32" s="159">
        <f t="shared" si="6"/>
        <v>22</v>
      </c>
      <c r="B32" s="159" t="s">
        <v>203</v>
      </c>
      <c r="C32" s="77">
        <v>3.1579999999999999</v>
      </c>
      <c r="D32" s="65">
        <f>0.84*1000</f>
        <v>840</v>
      </c>
      <c r="E32" s="78">
        <v>30</v>
      </c>
      <c r="F32" s="159">
        <f>_xlfn.IFNA(VLOOKUP(B32,'PACKING LIST'!$B$35:$F$54,5,FALSE),0)</f>
        <v>0</v>
      </c>
      <c r="G32" s="106">
        <f t="shared" si="9"/>
        <v>0</v>
      </c>
      <c r="H32" s="57">
        <f t="shared" si="32"/>
        <v>0</v>
      </c>
      <c r="I32" s="64"/>
      <c r="J32" s="64">
        <f t="shared" si="31"/>
        <v>0</v>
      </c>
      <c r="K32" s="62">
        <f t="shared" si="2"/>
        <v>0</v>
      </c>
      <c r="L32" s="62" t="s">
        <v>58</v>
      </c>
      <c r="M32" s="161">
        <v>39169092</v>
      </c>
      <c r="N32" s="140" t="s">
        <v>278</v>
      </c>
      <c r="O32" s="140"/>
    </row>
    <row r="33" spans="1:16" ht="20.05" customHeight="1">
      <c r="A33" s="159">
        <f t="shared" si="6"/>
        <v>23</v>
      </c>
      <c r="B33" s="159" t="s">
        <v>204</v>
      </c>
      <c r="C33" s="77">
        <v>2.5089999999999999</v>
      </c>
      <c r="D33" s="65">
        <f>0.624*1000</f>
        <v>624</v>
      </c>
      <c r="E33" s="78">
        <v>30</v>
      </c>
      <c r="F33" s="159">
        <f>_xlfn.IFNA(VLOOKUP(B33,'PACKING LIST'!$B$35:$F$54,5,FALSE),0)</f>
        <v>0</v>
      </c>
      <c r="G33" s="106">
        <f t="shared" si="9"/>
        <v>0</v>
      </c>
      <c r="H33" s="57">
        <f t="shared" si="32"/>
        <v>0</v>
      </c>
      <c r="I33" s="64"/>
      <c r="J33" s="64">
        <f t="shared" si="31"/>
        <v>0</v>
      </c>
      <c r="K33" s="62">
        <f t="shared" si="2"/>
        <v>0</v>
      </c>
      <c r="L33" s="62" t="s">
        <v>58</v>
      </c>
      <c r="M33" s="161">
        <v>39169092</v>
      </c>
      <c r="N33" s="140" t="s">
        <v>278</v>
      </c>
      <c r="O33" s="140"/>
    </row>
    <row r="34" spans="1:16" ht="20.05" customHeight="1">
      <c r="A34" s="159">
        <f t="shared" si="6"/>
        <v>24</v>
      </c>
      <c r="B34" s="159" t="s">
        <v>205</v>
      </c>
      <c r="C34" s="77">
        <v>2.698</v>
      </c>
      <c r="D34" s="65">
        <f>0.673*1000</f>
        <v>673</v>
      </c>
      <c r="E34" s="78">
        <v>30</v>
      </c>
      <c r="F34" s="159">
        <f>_xlfn.IFNA(VLOOKUP(B34,'PACKING LIST'!$B$35:$F$54,5,FALSE),0)</f>
        <v>0</v>
      </c>
      <c r="G34" s="106">
        <f t="shared" si="9"/>
        <v>0</v>
      </c>
      <c r="H34" s="57">
        <f t="shared" si="32"/>
        <v>0</v>
      </c>
      <c r="I34" s="64"/>
      <c r="J34" s="64">
        <f t="shared" si="31"/>
        <v>0</v>
      </c>
      <c r="K34" s="62">
        <f t="shared" si="2"/>
        <v>0</v>
      </c>
      <c r="L34" s="62" t="s">
        <v>58</v>
      </c>
      <c r="M34" s="161">
        <v>39169092</v>
      </c>
      <c r="N34" s="140" t="s">
        <v>278</v>
      </c>
      <c r="O34" s="140"/>
    </row>
    <row r="35" spans="1:16" ht="20.05" customHeight="1">
      <c r="A35" s="159">
        <f t="shared" si="6"/>
        <v>25</v>
      </c>
      <c r="B35" s="159" t="s">
        <v>233</v>
      </c>
      <c r="C35" s="100">
        <v>0.2046</v>
      </c>
      <c r="D35" s="65">
        <v>21.6</v>
      </c>
      <c r="E35" s="78">
        <v>500</v>
      </c>
      <c r="F35" s="159">
        <f>_xlfn.IFNA(VLOOKUP(B35,'PACKING LIST'!$B$35:$F$54,5,FALSE),0)</f>
        <v>0</v>
      </c>
      <c r="G35" s="106">
        <f t="shared" si="9"/>
        <v>0</v>
      </c>
      <c r="H35" s="57">
        <f>F35*D35/1000</f>
        <v>0</v>
      </c>
      <c r="I35" s="64"/>
      <c r="J35" s="64">
        <f t="shared" si="31"/>
        <v>0</v>
      </c>
      <c r="K35" s="62">
        <f t="shared" si="2"/>
        <v>0</v>
      </c>
      <c r="L35" s="62" t="s">
        <v>58</v>
      </c>
      <c r="M35" s="161">
        <v>39169092</v>
      </c>
      <c r="N35" s="140" t="s">
        <v>278</v>
      </c>
      <c r="O35" s="140"/>
    </row>
    <row r="36" spans="1:16" ht="20.05" customHeight="1">
      <c r="A36" s="159">
        <f t="shared" si="6"/>
        <v>26</v>
      </c>
      <c r="B36" s="159" t="s">
        <v>124</v>
      </c>
      <c r="C36" s="180">
        <v>0.23400000000000001</v>
      </c>
      <c r="D36" s="65">
        <v>24</v>
      </c>
      <c r="E36" s="78">
        <v>500</v>
      </c>
      <c r="F36" s="159">
        <f>_xlfn.IFNA(VLOOKUP(B36,'PACKING LIST'!$B$35:$F$54,5,FALSE),0)</f>
        <v>0</v>
      </c>
      <c r="G36" s="106">
        <f t="shared" si="9"/>
        <v>0</v>
      </c>
      <c r="H36" s="57">
        <f t="shared" ref="H36:H40" si="33">F36*D36/1000</f>
        <v>0</v>
      </c>
      <c r="I36" s="64"/>
      <c r="J36" s="64">
        <f t="shared" si="31"/>
        <v>0</v>
      </c>
      <c r="K36" s="62">
        <f t="shared" si="2"/>
        <v>0</v>
      </c>
      <c r="L36" s="62" t="s">
        <v>58</v>
      </c>
      <c r="M36" s="161">
        <v>39169092</v>
      </c>
      <c r="N36" s="140" t="s">
        <v>278</v>
      </c>
      <c r="O36" s="140"/>
      <c r="P36" s="80">
        <f>263636+165000</f>
        <v>428636</v>
      </c>
    </row>
    <row r="37" spans="1:16" ht="20.05" customHeight="1">
      <c r="A37" s="159"/>
      <c r="B37" s="159" t="s">
        <v>206</v>
      </c>
      <c r="C37" s="180">
        <v>0.224</v>
      </c>
      <c r="D37" s="65">
        <v>24</v>
      </c>
      <c r="E37" s="78">
        <v>500</v>
      </c>
      <c r="F37" s="159">
        <f>_xlfn.IFNA(VLOOKUP(B37,'PACKING LIST'!$B$35:$F$54,5,FALSE),0)</f>
        <v>0</v>
      </c>
      <c r="G37" s="106">
        <f t="shared" ref="G37" si="34">ROUNDUP(F37/E37,0)</f>
        <v>0</v>
      </c>
      <c r="H37" s="57">
        <f t="shared" ref="H37" si="35">F37*D37/1000</f>
        <v>0</v>
      </c>
      <c r="I37" s="64"/>
      <c r="J37" s="64">
        <f t="shared" ref="J37" si="36">G37*1</f>
        <v>0</v>
      </c>
      <c r="K37" s="62">
        <f t="shared" ref="K37" si="37">J37+I37+H37</f>
        <v>0</v>
      </c>
      <c r="L37" s="62" t="s">
        <v>58</v>
      </c>
      <c r="M37" s="161">
        <v>39169092</v>
      </c>
      <c r="N37" s="140" t="s">
        <v>278</v>
      </c>
      <c r="O37" s="140"/>
      <c r="P37" s="80"/>
    </row>
    <row r="38" spans="1:16" ht="20.05" customHeight="1">
      <c r="A38" s="159"/>
      <c r="B38" s="159" t="s">
        <v>106</v>
      </c>
      <c r="C38" s="180">
        <v>0.224</v>
      </c>
      <c r="D38" s="65">
        <v>24</v>
      </c>
      <c r="E38" s="78">
        <v>500</v>
      </c>
      <c r="F38" s="159">
        <f>_xlfn.IFNA(VLOOKUP(B38,'PACKING LIST'!$B$35:$F$54,5,FALSE),0)</f>
        <v>0</v>
      </c>
      <c r="G38" s="106">
        <f t="shared" ref="G38" si="38">ROUNDUP(F38/E38,0)</f>
        <v>0</v>
      </c>
      <c r="H38" s="57">
        <f t="shared" ref="H38" si="39">F38*D38/1000</f>
        <v>0</v>
      </c>
      <c r="I38" s="64"/>
      <c r="J38" s="64">
        <f t="shared" ref="J38" si="40">G38*1</f>
        <v>0</v>
      </c>
      <c r="K38" s="62">
        <f t="shared" ref="K38" si="41">J38+I38+H38</f>
        <v>0</v>
      </c>
      <c r="L38" s="62" t="s">
        <v>58</v>
      </c>
      <c r="M38" s="161">
        <v>39169092</v>
      </c>
      <c r="N38" s="140" t="s">
        <v>278</v>
      </c>
      <c r="O38" s="140"/>
      <c r="P38" s="80"/>
    </row>
    <row r="39" spans="1:16" ht="20.05" customHeight="1">
      <c r="A39" s="159">
        <f>A36+1</f>
        <v>27</v>
      </c>
      <c r="B39" s="159" t="s">
        <v>125</v>
      </c>
      <c r="C39" s="180">
        <v>0.22800000000000001</v>
      </c>
      <c r="D39" s="65">
        <v>21.7</v>
      </c>
      <c r="E39" s="78">
        <v>500</v>
      </c>
      <c r="F39" s="159">
        <f>_xlfn.IFNA(VLOOKUP(B39,'PACKING LIST'!$B$35:$F$54,5,FALSE),0)</f>
        <v>0</v>
      </c>
      <c r="G39" s="106">
        <f t="shared" si="9"/>
        <v>0</v>
      </c>
      <c r="H39" s="57">
        <f t="shared" si="33"/>
        <v>0</v>
      </c>
      <c r="I39" s="64"/>
      <c r="J39" s="64">
        <f t="shared" si="31"/>
        <v>0</v>
      </c>
      <c r="K39" s="62">
        <f t="shared" si="2"/>
        <v>0</v>
      </c>
      <c r="L39" s="62" t="s">
        <v>58</v>
      </c>
      <c r="M39" s="161">
        <v>39169092</v>
      </c>
      <c r="N39" s="140" t="s">
        <v>278</v>
      </c>
      <c r="O39" s="140"/>
    </row>
    <row r="40" spans="1:16" ht="20.05" customHeight="1">
      <c r="A40" s="159">
        <f t="shared" si="6"/>
        <v>28</v>
      </c>
      <c r="B40" s="159" t="s">
        <v>207</v>
      </c>
      <c r="C40" s="180">
        <v>0.22900000000000001</v>
      </c>
      <c r="D40" s="65">
        <v>22.1</v>
      </c>
      <c r="E40" s="78">
        <v>500</v>
      </c>
      <c r="F40" s="159">
        <f>_xlfn.IFNA(VLOOKUP(B40,'PACKING LIST'!$B$35:$F$54,5,FALSE),0)</f>
        <v>0</v>
      </c>
      <c r="G40" s="106">
        <f t="shared" si="9"/>
        <v>0</v>
      </c>
      <c r="H40" s="57">
        <f t="shared" si="33"/>
        <v>0</v>
      </c>
      <c r="I40" s="64"/>
      <c r="J40" s="64">
        <f t="shared" si="31"/>
        <v>0</v>
      </c>
      <c r="K40" s="62">
        <f t="shared" si="2"/>
        <v>0</v>
      </c>
      <c r="L40" s="62" t="s">
        <v>58</v>
      </c>
      <c r="M40" s="161">
        <v>39169092</v>
      </c>
      <c r="N40" s="140" t="s">
        <v>278</v>
      </c>
      <c r="O40" s="140"/>
    </row>
    <row r="41" spans="1:16" ht="20.05" customHeight="1">
      <c r="A41" s="159">
        <f t="shared" si="6"/>
        <v>29</v>
      </c>
      <c r="B41" s="159" t="s">
        <v>105</v>
      </c>
      <c r="C41" s="180">
        <v>0.251</v>
      </c>
      <c r="D41" s="65">
        <v>25</v>
      </c>
      <c r="E41" s="78">
        <v>500</v>
      </c>
      <c r="F41" s="159">
        <f>_xlfn.IFNA(VLOOKUP(B41,'PACKING LIST'!$B$35:$F$54,5,FALSE),0)</f>
        <v>0</v>
      </c>
      <c r="G41" s="106">
        <f>ROUNDUP(F41/E41,0)</f>
        <v>0</v>
      </c>
      <c r="H41" s="57">
        <f t="shared" ref="H41" si="42">F41*D41/1000</f>
        <v>0</v>
      </c>
      <c r="I41" s="64"/>
      <c r="J41" s="64">
        <f t="shared" ref="J41" si="43">G41*1</f>
        <v>0</v>
      </c>
      <c r="K41" s="62">
        <f t="shared" ref="K41:K43" si="44">J41+I41+H41</f>
        <v>0</v>
      </c>
      <c r="L41" s="62" t="s">
        <v>58</v>
      </c>
      <c r="M41" s="161">
        <v>39169092</v>
      </c>
      <c r="N41" s="140" t="s">
        <v>278</v>
      </c>
      <c r="O41" s="140"/>
    </row>
    <row r="42" spans="1:16" ht="20.05" customHeight="1">
      <c r="A42" s="159">
        <f t="shared" si="6"/>
        <v>30</v>
      </c>
      <c r="B42" s="159" t="s">
        <v>293</v>
      </c>
      <c r="C42" s="198">
        <v>0.251</v>
      </c>
      <c r="D42" s="65">
        <v>25</v>
      </c>
      <c r="E42" s="78">
        <v>500</v>
      </c>
      <c r="F42" s="159">
        <f>_xlfn.IFNA(VLOOKUP(B42,'PACKING LIST'!$B$35:$F$54,5,FALSE),0)</f>
        <v>9000</v>
      </c>
      <c r="G42" s="106">
        <f>ROUNDUP(F42/E42,0)</f>
        <v>18</v>
      </c>
      <c r="H42" s="57">
        <f>F42*D42/1000</f>
        <v>225</v>
      </c>
      <c r="I42" s="64"/>
      <c r="J42" s="64">
        <f t="shared" ref="J42:J62" si="45">G42*1</f>
        <v>18</v>
      </c>
      <c r="K42" s="62">
        <f>J42+I42+H42</f>
        <v>243</v>
      </c>
      <c r="L42" s="62" t="s">
        <v>58</v>
      </c>
      <c r="M42" s="161">
        <v>39169092</v>
      </c>
      <c r="N42" s="140" t="s">
        <v>278</v>
      </c>
      <c r="O42" s="140"/>
    </row>
    <row r="43" spans="1:16" ht="20.05" customHeight="1">
      <c r="A43" s="159">
        <f>A41+1</f>
        <v>30</v>
      </c>
      <c r="B43" s="159" t="s">
        <v>186</v>
      </c>
      <c r="C43" s="180">
        <v>0.224</v>
      </c>
      <c r="D43" s="65">
        <v>23</v>
      </c>
      <c r="E43" s="78">
        <v>500</v>
      </c>
      <c r="F43" s="159">
        <f>_xlfn.IFNA(VLOOKUP(B43,'PACKING LIST'!$B$35:$F$54,5,FALSE),0)</f>
        <v>5500</v>
      </c>
      <c r="G43" s="106">
        <f t="shared" ref="G43" si="46">ROUNDUP(F43/E43,0)</f>
        <v>11</v>
      </c>
      <c r="H43" s="57">
        <f t="shared" ref="H43:H72" si="47">F43*D43/1000</f>
        <v>126.5</v>
      </c>
      <c r="I43" s="64"/>
      <c r="J43" s="64">
        <f t="shared" si="45"/>
        <v>11</v>
      </c>
      <c r="K43" s="62">
        <f t="shared" si="44"/>
        <v>137.5</v>
      </c>
      <c r="L43" s="62" t="s">
        <v>58</v>
      </c>
      <c r="M43" s="161">
        <v>39169092</v>
      </c>
      <c r="N43" s="140" t="s">
        <v>278</v>
      </c>
      <c r="O43" s="140"/>
    </row>
    <row r="44" spans="1:16" ht="20.05" customHeight="1">
      <c r="A44" s="159">
        <f t="shared" si="6"/>
        <v>31</v>
      </c>
      <c r="B44" s="159" t="s">
        <v>208</v>
      </c>
      <c r="C44" s="180">
        <v>0.23300000000000001</v>
      </c>
      <c r="D44" s="65">
        <v>22.8</v>
      </c>
      <c r="E44" s="78">
        <v>500</v>
      </c>
      <c r="F44" s="159">
        <f>_xlfn.IFNA(VLOOKUP(B44,'PACKING LIST'!$B$35:$F$54,5,FALSE),0)</f>
        <v>0</v>
      </c>
      <c r="G44" s="106">
        <f t="shared" si="9"/>
        <v>0</v>
      </c>
      <c r="H44" s="57">
        <f t="shared" si="47"/>
        <v>0</v>
      </c>
      <c r="I44" s="64"/>
      <c r="J44" s="64">
        <f t="shared" si="45"/>
        <v>0</v>
      </c>
      <c r="K44" s="62">
        <f t="shared" si="2"/>
        <v>0</v>
      </c>
      <c r="L44" s="62" t="s">
        <v>58</v>
      </c>
      <c r="M44" s="161">
        <v>39169092</v>
      </c>
      <c r="N44" s="140" t="s">
        <v>278</v>
      </c>
      <c r="O44" s="140"/>
    </row>
    <row r="45" spans="1:16" ht="20.05" customHeight="1">
      <c r="A45" s="159">
        <f t="shared" si="6"/>
        <v>32</v>
      </c>
      <c r="B45" s="91" t="s">
        <v>209</v>
      </c>
      <c r="C45" s="180">
        <v>0.23499999999999999</v>
      </c>
      <c r="D45" s="65">
        <v>23.5</v>
      </c>
      <c r="E45" s="78">
        <v>500</v>
      </c>
      <c r="F45" s="159">
        <f>_xlfn.IFNA(VLOOKUP(B45,'PACKING LIST'!$B$35:$F$54,5,FALSE),0)</f>
        <v>11000</v>
      </c>
      <c r="G45" s="106">
        <f>ROUNDUP(F45/E45,0)</f>
        <v>22</v>
      </c>
      <c r="H45" s="57">
        <f t="shared" si="47"/>
        <v>258.5</v>
      </c>
      <c r="I45" s="64"/>
      <c r="J45" s="64">
        <f t="shared" si="45"/>
        <v>22</v>
      </c>
      <c r="K45" s="62">
        <f>J45+I45+H45</f>
        <v>280.5</v>
      </c>
      <c r="L45" s="62" t="s">
        <v>58</v>
      </c>
      <c r="M45" s="161">
        <v>39169092</v>
      </c>
      <c r="N45" s="140" t="s">
        <v>278</v>
      </c>
      <c r="O45" s="140"/>
    </row>
    <row r="46" spans="1:16" ht="20.05" customHeight="1">
      <c r="A46" s="159"/>
      <c r="B46" s="159" t="s">
        <v>217</v>
      </c>
      <c r="C46" s="180">
        <v>0.223</v>
      </c>
      <c r="D46" s="65">
        <v>25</v>
      </c>
      <c r="E46" s="78">
        <v>500</v>
      </c>
      <c r="F46" s="159">
        <f>_xlfn.IFNA(VLOOKUP(B46,'PACKING LIST'!$B$35:$F$54,5,FALSE),0)</f>
        <v>13000</v>
      </c>
      <c r="G46" s="106">
        <f t="shared" ref="G46" si="48">ROUNDUP(F46/E46,0)</f>
        <v>26</v>
      </c>
      <c r="H46" s="57">
        <f t="shared" si="47"/>
        <v>325</v>
      </c>
      <c r="I46" s="64"/>
      <c r="J46" s="64">
        <f t="shared" si="45"/>
        <v>26</v>
      </c>
      <c r="K46" s="62">
        <f t="shared" ref="K46:K51" si="49">J46+I46+H46</f>
        <v>351</v>
      </c>
      <c r="L46" s="62" t="s">
        <v>58</v>
      </c>
      <c r="M46" s="161">
        <v>39169092</v>
      </c>
      <c r="N46" s="140" t="s">
        <v>278</v>
      </c>
      <c r="O46" s="140"/>
    </row>
    <row r="47" spans="1:16" ht="20.05" customHeight="1">
      <c r="A47" s="159"/>
      <c r="B47" s="159" t="s">
        <v>218</v>
      </c>
      <c r="C47" s="180">
        <v>0.223</v>
      </c>
      <c r="D47" s="65">
        <v>25</v>
      </c>
      <c r="E47" s="78">
        <v>500</v>
      </c>
      <c r="F47" s="159">
        <f>_xlfn.IFNA(VLOOKUP(B47,'PACKING LIST'!$B$35:$F$54,5,FALSE),0)</f>
        <v>11000</v>
      </c>
      <c r="G47" s="106">
        <f t="shared" ref="G47:G53" si="50">ROUNDUP(F47/E47,0)</f>
        <v>22</v>
      </c>
      <c r="H47" s="57">
        <f t="shared" si="47"/>
        <v>275</v>
      </c>
      <c r="I47" s="64"/>
      <c r="J47" s="64">
        <f t="shared" si="45"/>
        <v>22</v>
      </c>
      <c r="K47" s="62">
        <f t="shared" ref="K47" si="51">J47+I47+H47</f>
        <v>297</v>
      </c>
      <c r="L47" s="62" t="s">
        <v>58</v>
      </c>
      <c r="M47" s="161">
        <v>39169092</v>
      </c>
      <c r="N47" s="140" t="s">
        <v>278</v>
      </c>
      <c r="O47" s="140"/>
    </row>
    <row r="48" spans="1:16" ht="20.05" customHeight="1">
      <c r="A48" s="159"/>
      <c r="B48" s="159" t="s">
        <v>296</v>
      </c>
      <c r="C48" s="180">
        <v>0.21299999999999999</v>
      </c>
      <c r="D48" s="65">
        <v>23.5</v>
      </c>
      <c r="E48" s="78">
        <v>500</v>
      </c>
      <c r="F48" s="159">
        <f>_xlfn.IFNA(VLOOKUP(B48,'PACKING LIST'!$B$35:$F$54,5,FALSE),0)</f>
        <v>6000</v>
      </c>
      <c r="G48" s="106">
        <f t="shared" si="50"/>
        <v>12</v>
      </c>
      <c r="H48" s="57">
        <f t="shared" si="47"/>
        <v>141</v>
      </c>
      <c r="I48" s="64"/>
      <c r="J48" s="64">
        <f t="shared" si="45"/>
        <v>12</v>
      </c>
      <c r="K48" s="62"/>
      <c r="L48" s="62" t="s">
        <v>58</v>
      </c>
      <c r="M48" s="161">
        <v>39169092</v>
      </c>
      <c r="N48" s="140" t="s">
        <v>278</v>
      </c>
      <c r="O48" s="140"/>
    </row>
    <row r="49" spans="1:16" ht="20.05" customHeight="1">
      <c r="A49" s="159"/>
      <c r="B49" s="159" t="s">
        <v>297</v>
      </c>
      <c r="C49" s="180">
        <v>0.223</v>
      </c>
      <c r="D49" s="65">
        <v>25</v>
      </c>
      <c r="E49" s="78">
        <v>500</v>
      </c>
      <c r="F49" s="159">
        <f>_xlfn.IFNA(VLOOKUP(B49,'PACKING LIST'!$B$35:$F$54,5,FALSE),0)</f>
        <v>5000</v>
      </c>
      <c r="G49" s="106">
        <f t="shared" si="50"/>
        <v>10</v>
      </c>
      <c r="H49" s="57">
        <f t="shared" si="47"/>
        <v>125</v>
      </c>
      <c r="I49" s="64"/>
      <c r="J49" s="64">
        <f t="shared" si="45"/>
        <v>10</v>
      </c>
      <c r="K49" s="62"/>
      <c r="L49" s="62" t="s">
        <v>58</v>
      </c>
      <c r="M49" s="161">
        <v>39169092</v>
      </c>
      <c r="N49" s="140" t="s">
        <v>278</v>
      </c>
      <c r="O49" s="140"/>
    </row>
    <row r="50" spans="1:16" ht="20.05" customHeight="1">
      <c r="A50" s="159">
        <f>A45+1</f>
        <v>33</v>
      </c>
      <c r="B50" s="159" t="s">
        <v>93</v>
      </c>
      <c r="C50" s="77">
        <v>1.22</v>
      </c>
      <c r="D50" s="82">
        <v>52</v>
      </c>
      <c r="E50" s="78">
        <v>100</v>
      </c>
      <c r="F50" s="159">
        <f>_xlfn.IFNA(VLOOKUP(B50,'PACKING LIST'!$B$35:$F$54,5,FALSE),0)</f>
        <v>0</v>
      </c>
      <c r="G50" s="106">
        <f t="shared" si="50"/>
        <v>0</v>
      </c>
      <c r="H50" s="57">
        <f t="shared" si="47"/>
        <v>0</v>
      </c>
      <c r="I50" s="64"/>
      <c r="J50" s="64">
        <f t="shared" si="45"/>
        <v>0</v>
      </c>
      <c r="K50" s="62">
        <f t="shared" si="49"/>
        <v>0</v>
      </c>
      <c r="L50" s="62" t="s">
        <v>58</v>
      </c>
      <c r="M50" s="161">
        <v>39172100</v>
      </c>
      <c r="N50" s="140" t="s">
        <v>279</v>
      </c>
      <c r="O50" s="140"/>
      <c r="P50" s="21" t="s">
        <v>210</v>
      </c>
    </row>
    <row r="51" spans="1:16" ht="20.05" customHeight="1">
      <c r="A51" s="159">
        <f t="shared" si="6"/>
        <v>34</v>
      </c>
      <c r="B51" s="159" t="s">
        <v>211</v>
      </c>
      <c r="C51" s="77">
        <v>4.8</v>
      </c>
      <c r="D51" s="62">
        <v>0.5</v>
      </c>
      <c r="E51" s="78">
        <v>20</v>
      </c>
      <c r="F51" s="159">
        <f>_xlfn.IFNA(VLOOKUP(B51,'PACKING LIST'!$B$35:$F$54,5,FALSE),0)</f>
        <v>0</v>
      </c>
      <c r="G51" s="106">
        <f t="shared" si="50"/>
        <v>0</v>
      </c>
      <c r="H51" s="57">
        <f t="shared" si="47"/>
        <v>0</v>
      </c>
      <c r="I51" s="64"/>
      <c r="J51" s="64">
        <f t="shared" si="45"/>
        <v>0</v>
      </c>
      <c r="K51" s="62">
        <f t="shared" si="49"/>
        <v>0</v>
      </c>
      <c r="L51" s="62" t="s">
        <v>58</v>
      </c>
      <c r="M51" s="161">
        <v>39172929</v>
      </c>
      <c r="N51" s="140" t="s">
        <v>279</v>
      </c>
      <c r="O51" s="140"/>
    </row>
    <row r="52" spans="1:16" ht="20.05" customHeight="1">
      <c r="A52" s="159">
        <f>A55+1</f>
        <v>36</v>
      </c>
      <c r="B52" s="159" t="s">
        <v>101</v>
      </c>
      <c r="C52" s="180">
        <v>0.95499999999999996</v>
      </c>
      <c r="D52" s="82">
        <v>72</v>
      </c>
      <c r="E52" s="78">
        <v>200</v>
      </c>
      <c r="F52" s="159">
        <f>_xlfn.IFNA(VLOOKUP(B52,'PACKING LIST'!$B$35:$F$54,5,FALSE),0)</f>
        <v>0</v>
      </c>
      <c r="G52" s="106">
        <f t="shared" si="50"/>
        <v>0</v>
      </c>
      <c r="H52" s="57">
        <f t="shared" si="47"/>
        <v>0</v>
      </c>
      <c r="I52" s="64"/>
      <c r="J52" s="64">
        <f t="shared" si="45"/>
        <v>0</v>
      </c>
      <c r="K52" s="62">
        <f t="shared" ref="K52" si="52">J52+I52+H52</f>
        <v>0</v>
      </c>
      <c r="L52" s="62" t="s">
        <v>58</v>
      </c>
      <c r="M52" s="161">
        <v>39169092</v>
      </c>
      <c r="N52" s="140" t="s">
        <v>278</v>
      </c>
      <c r="O52" s="140"/>
    </row>
    <row r="53" spans="1:16" ht="20.05" customHeight="1">
      <c r="A53" s="159"/>
      <c r="B53" s="159" t="s">
        <v>319</v>
      </c>
      <c r="C53" s="180">
        <v>30.35</v>
      </c>
      <c r="D53" s="82">
        <v>1500</v>
      </c>
      <c r="E53" s="219">
        <v>1</v>
      </c>
      <c r="F53" s="159">
        <f>_xlfn.IFNA(VLOOKUP(B53,'PACKING LIST'!$B$35:$F$54,5,FALSE),0)</f>
        <v>0</v>
      </c>
      <c r="G53" s="106">
        <f t="shared" si="50"/>
        <v>0</v>
      </c>
      <c r="H53" s="57">
        <f>F53*D53/1000</f>
        <v>0</v>
      </c>
      <c r="I53" s="64"/>
      <c r="J53" s="64">
        <f>G53*0.5</f>
        <v>0</v>
      </c>
      <c r="K53" s="62"/>
      <c r="L53" s="62" t="s">
        <v>318</v>
      </c>
      <c r="M53" s="161"/>
      <c r="N53" s="140"/>
      <c r="O53" s="140"/>
    </row>
    <row r="54" spans="1:16" ht="20.05" customHeight="1">
      <c r="A54" s="159"/>
      <c r="B54" s="159" t="s">
        <v>317</v>
      </c>
      <c r="C54" s="180">
        <v>31.5</v>
      </c>
      <c r="D54" s="82"/>
      <c r="E54" s="219">
        <v>1</v>
      </c>
      <c r="F54" s="159">
        <f>_xlfn.IFNA(VLOOKUP(B54,'PACKING LIST'!$B$35:$F$54,5,FALSE),0)</f>
        <v>0</v>
      </c>
      <c r="G54" s="106"/>
      <c r="H54" s="57">
        <f t="shared" si="47"/>
        <v>0</v>
      </c>
      <c r="I54" s="64"/>
      <c r="J54" s="64">
        <f t="shared" si="45"/>
        <v>0</v>
      </c>
      <c r="K54" s="62"/>
      <c r="L54" s="62" t="s">
        <v>318</v>
      </c>
      <c r="M54" s="161"/>
      <c r="N54" s="140"/>
      <c r="O54" s="140"/>
    </row>
    <row r="55" spans="1:16" ht="20.05" customHeight="1">
      <c r="A55" s="159">
        <f>A51+1</f>
        <v>35</v>
      </c>
      <c r="B55" s="159" t="s">
        <v>212</v>
      </c>
      <c r="C55" s="77">
        <v>0.24</v>
      </c>
      <c r="D55" s="77"/>
      <c r="E55" s="95">
        <v>400</v>
      </c>
      <c r="F55" s="159">
        <f>_xlfn.IFNA(VLOOKUP(B55,'PACKING LIST'!$B$35:$F$54,5,FALSE),0)</f>
        <v>0</v>
      </c>
      <c r="G55" s="106">
        <f>ROUNDUP(F55/E55,0)</f>
        <v>0</v>
      </c>
      <c r="H55" s="57">
        <f t="shared" si="47"/>
        <v>0</v>
      </c>
      <c r="I55" s="64"/>
      <c r="J55" s="64">
        <f t="shared" si="45"/>
        <v>0</v>
      </c>
      <c r="K55" s="62">
        <f>J55+I55+H55</f>
        <v>0</v>
      </c>
      <c r="L55" s="62" t="s">
        <v>58</v>
      </c>
      <c r="M55" s="161">
        <v>63079090</v>
      </c>
      <c r="N55" s="140" t="s">
        <v>279</v>
      </c>
      <c r="O55" s="140"/>
    </row>
    <row r="56" spans="1:16" ht="20.05" customHeight="1">
      <c r="A56" s="159"/>
      <c r="B56" s="159" t="s">
        <v>107</v>
      </c>
      <c r="C56" s="77">
        <v>0.26</v>
      </c>
      <c r="D56" s="65">
        <v>18.3</v>
      </c>
      <c r="E56" s="95">
        <v>400</v>
      </c>
      <c r="F56" s="159">
        <f>_xlfn.IFNA(VLOOKUP(B56,'PACKING LIST'!$B$35:$F$54,5,FALSE),0)</f>
        <v>0</v>
      </c>
      <c r="G56" s="106">
        <f>ROUNDUP(F56/E56,0)</f>
        <v>0</v>
      </c>
      <c r="H56" s="57">
        <f t="shared" si="47"/>
        <v>0</v>
      </c>
      <c r="I56" s="64"/>
      <c r="J56" s="64">
        <f t="shared" si="45"/>
        <v>0</v>
      </c>
      <c r="K56" s="62">
        <f>J56+I56+H56</f>
        <v>0</v>
      </c>
      <c r="L56" s="62" t="s">
        <v>53</v>
      </c>
      <c r="M56" s="161">
        <v>63079090</v>
      </c>
      <c r="N56" s="140" t="s">
        <v>279</v>
      </c>
      <c r="O56" s="140"/>
      <c r="P56" s="21">
        <v>34046</v>
      </c>
    </row>
    <row r="57" spans="1:16" ht="20.05" customHeight="1">
      <c r="A57" s="159">
        <f>A52+1</f>
        <v>37</v>
      </c>
      <c r="B57" s="159" t="s">
        <v>108</v>
      </c>
      <c r="C57" s="77">
        <v>0.25</v>
      </c>
      <c r="D57" s="65">
        <v>16.3</v>
      </c>
      <c r="E57" s="95">
        <v>400</v>
      </c>
      <c r="F57" s="159">
        <f>_xlfn.IFNA(VLOOKUP(B57,'PACKING LIST'!$B$35:$F$54,5,FALSE),0)</f>
        <v>0</v>
      </c>
      <c r="G57" s="106">
        <f t="shared" ref="G57:G60" si="53">ROUNDUP(F57/E57,0)</f>
        <v>0</v>
      </c>
      <c r="H57" s="57">
        <f t="shared" si="47"/>
        <v>0</v>
      </c>
      <c r="I57" s="64"/>
      <c r="J57" s="64">
        <f t="shared" si="45"/>
        <v>0</v>
      </c>
      <c r="K57" s="62">
        <f t="shared" ref="K57:K60" si="54">J57+I57+H57</f>
        <v>0</v>
      </c>
      <c r="L57" s="62" t="s">
        <v>53</v>
      </c>
      <c r="M57" s="161">
        <v>63079090</v>
      </c>
      <c r="N57" s="140" t="s">
        <v>279</v>
      </c>
      <c r="O57" s="140"/>
      <c r="P57" s="21">
        <v>34080</v>
      </c>
    </row>
    <row r="58" spans="1:16" ht="20.05" customHeight="1">
      <c r="A58" s="159"/>
      <c r="B58" s="159" t="s">
        <v>320</v>
      </c>
      <c r="C58" s="77">
        <v>0.2</v>
      </c>
      <c r="D58" s="65">
        <v>83.3</v>
      </c>
      <c r="E58" s="95">
        <v>120</v>
      </c>
      <c r="F58" s="159"/>
      <c r="G58" s="106"/>
      <c r="H58" s="57"/>
      <c r="I58" s="64"/>
      <c r="J58" s="64"/>
      <c r="K58" s="62"/>
      <c r="L58" s="62" t="s">
        <v>53</v>
      </c>
      <c r="M58" s="161"/>
      <c r="N58" s="140"/>
      <c r="O58" s="140"/>
    </row>
    <row r="59" spans="1:16" ht="20.05" customHeight="1">
      <c r="A59" s="159">
        <f>A57+1</f>
        <v>38</v>
      </c>
      <c r="B59" s="159" t="s">
        <v>33</v>
      </c>
      <c r="C59" s="77">
        <v>0.47</v>
      </c>
      <c r="D59" s="65">
        <v>34.6</v>
      </c>
      <c r="E59" s="95">
        <v>240</v>
      </c>
      <c r="F59" s="159">
        <f>_xlfn.IFNA(VLOOKUP(B59,'PACKING LIST'!$B$35:$F$54,5,FALSE),0)</f>
        <v>0</v>
      </c>
      <c r="G59" s="106">
        <f t="shared" si="53"/>
        <v>0</v>
      </c>
      <c r="H59" s="57">
        <f t="shared" si="47"/>
        <v>0</v>
      </c>
      <c r="I59" s="64"/>
      <c r="J59" s="64">
        <f t="shared" si="45"/>
        <v>0</v>
      </c>
      <c r="K59" s="62">
        <f t="shared" si="54"/>
        <v>0</v>
      </c>
      <c r="L59" s="62" t="s">
        <v>53</v>
      </c>
      <c r="M59" s="161">
        <v>63079090</v>
      </c>
      <c r="N59" s="140" t="s">
        <v>279</v>
      </c>
      <c r="O59" s="140"/>
      <c r="P59" s="21" t="s">
        <v>213</v>
      </c>
    </row>
    <row r="60" spans="1:16" ht="20.05" customHeight="1">
      <c r="A60" s="159">
        <f t="shared" si="6"/>
        <v>39</v>
      </c>
      <c r="B60" s="159" t="s">
        <v>171</v>
      </c>
      <c r="C60" s="77">
        <v>0.46</v>
      </c>
      <c r="D60" s="65">
        <v>28.3</v>
      </c>
      <c r="E60" s="95">
        <v>240</v>
      </c>
      <c r="F60" s="159">
        <f>_xlfn.IFNA(VLOOKUP(B60,'PACKING LIST'!$B$35:$F$54,5,FALSE),0)</f>
        <v>0</v>
      </c>
      <c r="G60" s="106">
        <f t="shared" si="53"/>
        <v>0</v>
      </c>
      <c r="H60" s="57">
        <f t="shared" si="47"/>
        <v>0</v>
      </c>
      <c r="I60" s="64"/>
      <c r="J60" s="64">
        <f t="shared" si="45"/>
        <v>0</v>
      </c>
      <c r="K60" s="62">
        <f t="shared" si="54"/>
        <v>0</v>
      </c>
      <c r="L60" s="62" t="s">
        <v>53</v>
      </c>
      <c r="M60" s="161">
        <v>63079090</v>
      </c>
      <c r="N60" s="140" t="s">
        <v>279</v>
      </c>
      <c r="O60" s="140"/>
      <c r="P60" s="21" t="s">
        <v>214</v>
      </c>
    </row>
    <row r="61" spans="1:16" ht="20.05" customHeight="1">
      <c r="A61" s="159"/>
      <c r="B61" s="159" t="s">
        <v>226</v>
      </c>
      <c r="C61" s="77">
        <v>0.26100000000000001</v>
      </c>
      <c r="D61" s="65">
        <f>132.5</f>
        <v>132.5</v>
      </c>
      <c r="E61" s="95">
        <v>40</v>
      </c>
      <c r="F61" s="159">
        <f>_xlfn.IFNA(VLOOKUP(B61,'PACKING LIST'!$B$35:$F$54,5,FALSE),0)</f>
        <v>0</v>
      </c>
      <c r="G61" s="106">
        <f>ROUNDUP(F61/E61,0)</f>
        <v>0</v>
      </c>
      <c r="H61" s="57">
        <f t="shared" si="47"/>
        <v>0</v>
      </c>
      <c r="I61" s="64"/>
      <c r="J61" s="64">
        <f t="shared" si="45"/>
        <v>0</v>
      </c>
      <c r="K61" s="62">
        <f t="shared" ref="K61:K71" si="55">J61+I61+H61</f>
        <v>0</v>
      </c>
      <c r="L61" s="62" t="s">
        <v>53</v>
      </c>
      <c r="M61" s="161">
        <v>63079090</v>
      </c>
      <c r="N61" s="140" t="s">
        <v>279</v>
      </c>
      <c r="O61" s="140"/>
      <c r="P61" s="21" t="s">
        <v>239</v>
      </c>
    </row>
    <row r="62" spans="1:16" ht="20.05" customHeight="1">
      <c r="A62" s="159"/>
      <c r="B62" s="159" t="s">
        <v>227</v>
      </c>
      <c r="C62" s="77">
        <v>1.7</v>
      </c>
      <c r="D62" s="65">
        <v>107.5</v>
      </c>
      <c r="E62" s="95">
        <v>40</v>
      </c>
      <c r="F62" s="159">
        <f>_xlfn.IFNA(VLOOKUP(B62,'PACKING LIST'!$B$35:$F$54,5,FALSE),0)</f>
        <v>0</v>
      </c>
      <c r="G62" s="106">
        <f t="shared" ref="G62:G70" si="56">ROUNDUP(F62/E62,0)</f>
        <v>0</v>
      </c>
      <c r="H62" s="57">
        <f t="shared" si="47"/>
        <v>0</v>
      </c>
      <c r="I62" s="64"/>
      <c r="J62" s="64">
        <f t="shared" si="45"/>
        <v>0</v>
      </c>
      <c r="K62" s="62">
        <f t="shared" si="55"/>
        <v>0</v>
      </c>
      <c r="L62" s="62" t="s">
        <v>53</v>
      </c>
      <c r="M62" s="161">
        <v>63079090</v>
      </c>
      <c r="N62" s="140" t="s">
        <v>279</v>
      </c>
      <c r="O62" s="140"/>
      <c r="P62" s="21" t="s">
        <v>240</v>
      </c>
    </row>
    <row r="63" spans="1:16" ht="20.05" customHeight="1">
      <c r="A63" s="159">
        <f>A60+1</f>
        <v>40</v>
      </c>
      <c r="B63" s="159" t="s">
        <v>235</v>
      </c>
      <c r="C63" s="77">
        <v>1.51</v>
      </c>
      <c r="D63" s="65">
        <v>40</v>
      </c>
      <c r="E63" s="95">
        <v>200</v>
      </c>
      <c r="F63" s="159">
        <f>_xlfn.IFNA(VLOOKUP(B63,'PACKING LIST'!$B$35:$F$54,5,FALSE),0)</f>
        <v>0</v>
      </c>
      <c r="G63" s="106">
        <f t="shared" si="56"/>
        <v>0</v>
      </c>
      <c r="H63" s="57">
        <f t="shared" si="47"/>
        <v>0</v>
      </c>
      <c r="I63" s="64"/>
      <c r="J63" s="64">
        <f t="shared" ref="J63:J70" si="57">G63*1</f>
        <v>0</v>
      </c>
      <c r="K63" s="62">
        <f t="shared" si="55"/>
        <v>0</v>
      </c>
      <c r="L63" s="62" t="s">
        <v>53</v>
      </c>
      <c r="M63" s="161">
        <v>63079090</v>
      </c>
      <c r="N63" s="140" t="s">
        <v>279</v>
      </c>
      <c r="O63" s="140"/>
      <c r="P63" s="21" t="s">
        <v>241</v>
      </c>
    </row>
    <row r="64" spans="1:16" ht="20.05" customHeight="1">
      <c r="A64" s="159">
        <f t="shared" si="6"/>
        <v>41</v>
      </c>
      <c r="B64" s="159" t="s">
        <v>236</v>
      </c>
      <c r="C64" s="77">
        <v>1.47</v>
      </c>
      <c r="D64" s="65">
        <v>35</v>
      </c>
      <c r="E64" s="95" t="s">
        <v>220</v>
      </c>
      <c r="F64" s="159">
        <f>_xlfn.IFNA(VLOOKUP(B64,'PACKING LIST'!$B$35:$F$54,5,FALSE),0)</f>
        <v>0</v>
      </c>
      <c r="G64" s="106" t="e">
        <f t="shared" si="56"/>
        <v>#VALUE!</v>
      </c>
      <c r="H64" s="57">
        <f t="shared" si="47"/>
        <v>0</v>
      </c>
      <c r="I64" s="64"/>
      <c r="J64" s="64" t="e">
        <f t="shared" si="57"/>
        <v>#VALUE!</v>
      </c>
      <c r="K64" s="62" t="e">
        <f t="shared" si="55"/>
        <v>#VALUE!</v>
      </c>
      <c r="L64" s="62" t="s">
        <v>53</v>
      </c>
      <c r="M64" s="161">
        <v>63079090</v>
      </c>
      <c r="N64" s="140" t="s">
        <v>279</v>
      </c>
      <c r="O64" s="140"/>
      <c r="P64" s="21" t="s">
        <v>242</v>
      </c>
    </row>
    <row r="65" spans="1:16" ht="20.05" customHeight="1">
      <c r="A65" s="159"/>
      <c r="B65" s="159" t="s">
        <v>243</v>
      </c>
      <c r="C65" s="77">
        <v>0.62</v>
      </c>
      <c r="D65" s="65">
        <v>50</v>
      </c>
      <c r="E65" s="95">
        <v>200</v>
      </c>
      <c r="F65" s="159"/>
      <c r="G65" s="106"/>
      <c r="H65" s="57">
        <f t="shared" si="47"/>
        <v>0</v>
      </c>
      <c r="I65" s="64"/>
      <c r="J65" s="64"/>
      <c r="K65" s="62"/>
      <c r="L65" s="62" t="s">
        <v>53</v>
      </c>
      <c r="M65" s="161">
        <v>63079090</v>
      </c>
      <c r="N65" s="140" t="s">
        <v>279</v>
      </c>
      <c r="O65" s="140"/>
      <c r="P65" s="21" t="s">
        <v>230</v>
      </c>
    </row>
    <row r="66" spans="1:16" ht="20.05" customHeight="1">
      <c r="A66" s="159"/>
      <c r="B66" s="159" t="s">
        <v>244</v>
      </c>
      <c r="C66" s="77">
        <v>0.59</v>
      </c>
      <c r="D66" s="65">
        <v>40</v>
      </c>
      <c r="E66" s="95">
        <v>200</v>
      </c>
      <c r="F66" s="159"/>
      <c r="G66" s="106"/>
      <c r="H66" s="57">
        <f t="shared" si="47"/>
        <v>0</v>
      </c>
      <c r="I66" s="64"/>
      <c r="J66" s="64"/>
      <c r="K66" s="62"/>
      <c r="L66" s="62" t="s">
        <v>53</v>
      </c>
      <c r="M66" s="161">
        <v>63079090</v>
      </c>
      <c r="N66" s="140" t="s">
        <v>279</v>
      </c>
      <c r="O66" s="140"/>
      <c r="P66" s="21" t="s">
        <v>231</v>
      </c>
    </row>
    <row r="67" spans="1:16" ht="20.05" customHeight="1">
      <c r="A67" s="159"/>
      <c r="B67" s="159" t="s">
        <v>245</v>
      </c>
      <c r="C67" s="77">
        <v>0.62</v>
      </c>
      <c r="D67" s="65">
        <v>50</v>
      </c>
      <c r="E67" s="95">
        <v>200</v>
      </c>
      <c r="F67" s="159"/>
      <c r="G67" s="106"/>
      <c r="H67" s="57">
        <f t="shared" si="47"/>
        <v>0</v>
      </c>
      <c r="I67" s="64"/>
      <c r="J67" s="64"/>
      <c r="K67" s="62"/>
      <c r="L67" s="62" t="s">
        <v>53</v>
      </c>
      <c r="M67" s="161">
        <v>63079090</v>
      </c>
      <c r="N67" s="140" t="s">
        <v>279</v>
      </c>
      <c r="O67" s="140"/>
      <c r="P67" s="21" t="s">
        <v>232</v>
      </c>
    </row>
    <row r="68" spans="1:16" ht="20.05" customHeight="1">
      <c r="A68" s="159"/>
      <c r="B68" s="159" t="s">
        <v>246</v>
      </c>
      <c r="C68" s="77">
        <v>0.59</v>
      </c>
      <c r="D68" s="65">
        <v>40</v>
      </c>
      <c r="E68" s="95">
        <v>200</v>
      </c>
      <c r="F68" s="159"/>
      <c r="G68" s="106"/>
      <c r="H68" s="57">
        <f t="shared" si="47"/>
        <v>0</v>
      </c>
      <c r="I68" s="64"/>
      <c r="J68" s="64"/>
      <c r="K68" s="62"/>
      <c r="L68" s="62" t="s">
        <v>53</v>
      </c>
      <c r="M68" s="161">
        <v>63079090</v>
      </c>
      <c r="N68" s="140" t="s">
        <v>279</v>
      </c>
      <c r="O68" s="140"/>
      <c r="P68" s="21" t="s">
        <v>231</v>
      </c>
    </row>
    <row r="69" spans="1:16">
      <c r="A69" s="159">
        <f>A64+1</f>
        <v>42</v>
      </c>
      <c r="B69" s="159" t="s">
        <v>237</v>
      </c>
      <c r="C69" s="77">
        <v>0.26</v>
      </c>
      <c r="D69" s="65">
        <v>50</v>
      </c>
      <c r="E69" s="95">
        <v>400</v>
      </c>
      <c r="F69" s="159">
        <f>_xlfn.IFNA(VLOOKUP(B69,'PACKING LIST'!$B$35:$F$54,5,FALSE),0)</f>
        <v>0</v>
      </c>
      <c r="G69" s="106">
        <f t="shared" si="56"/>
        <v>0</v>
      </c>
      <c r="H69" s="57">
        <f t="shared" si="47"/>
        <v>0</v>
      </c>
      <c r="I69" s="64"/>
      <c r="J69" s="64">
        <f t="shared" si="57"/>
        <v>0</v>
      </c>
      <c r="K69" s="62">
        <f t="shared" si="55"/>
        <v>0</v>
      </c>
      <c r="L69" s="62" t="s">
        <v>53</v>
      </c>
      <c r="M69" s="161">
        <v>63079090</v>
      </c>
      <c r="N69" s="140" t="s">
        <v>279</v>
      </c>
      <c r="O69" s="140"/>
    </row>
    <row r="70" spans="1:16">
      <c r="A70" s="159">
        <f t="shared" si="6"/>
        <v>43</v>
      </c>
      <c r="B70" s="159" t="s">
        <v>238</v>
      </c>
      <c r="C70" s="77">
        <v>0.26</v>
      </c>
      <c r="D70" s="65">
        <v>40</v>
      </c>
      <c r="E70" s="95">
        <v>400</v>
      </c>
      <c r="F70" s="159">
        <f>_xlfn.IFNA(VLOOKUP(B70,'PACKING LIST'!$B$35:$F$54,5,FALSE),0)</f>
        <v>0</v>
      </c>
      <c r="G70" s="106">
        <f t="shared" si="56"/>
        <v>0</v>
      </c>
      <c r="H70" s="57">
        <f t="shared" si="47"/>
        <v>0</v>
      </c>
      <c r="I70" s="64"/>
      <c r="J70" s="64">
        <f t="shared" si="57"/>
        <v>0</v>
      </c>
      <c r="K70" s="62">
        <f t="shared" si="55"/>
        <v>0</v>
      </c>
      <c r="L70" s="62" t="s">
        <v>53</v>
      </c>
      <c r="M70" s="161">
        <v>63079090</v>
      </c>
      <c r="N70" s="140" t="s">
        <v>279</v>
      </c>
      <c r="O70" s="140"/>
    </row>
    <row r="71" spans="1:16">
      <c r="A71" s="159">
        <f t="shared" si="6"/>
        <v>44</v>
      </c>
      <c r="B71" s="39" t="s">
        <v>219</v>
      </c>
      <c r="C71" s="77">
        <v>0.62</v>
      </c>
      <c r="D71" s="65">
        <v>50</v>
      </c>
      <c r="E71" s="95">
        <v>200</v>
      </c>
      <c r="F71" s="159">
        <f>_xlfn.IFNA(VLOOKUP(B71,'PACKING LIST'!$B$35:$F$54,5,FALSE),0)</f>
        <v>0</v>
      </c>
      <c r="G71" s="106">
        <v>1</v>
      </c>
      <c r="H71" s="57">
        <f t="shared" si="47"/>
        <v>0</v>
      </c>
      <c r="I71" s="64"/>
      <c r="J71" s="64">
        <f>G71*1</f>
        <v>1</v>
      </c>
      <c r="K71" s="62">
        <f t="shared" si="55"/>
        <v>1</v>
      </c>
      <c r="L71" s="62" t="s">
        <v>53</v>
      </c>
      <c r="M71" s="161">
        <v>63079090</v>
      </c>
      <c r="N71" s="140" t="s">
        <v>279</v>
      </c>
      <c r="O71" s="140"/>
      <c r="P71" s="21" t="s">
        <v>223</v>
      </c>
    </row>
    <row r="72" spans="1:16">
      <c r="A72" s="159">
        <f t="shared" si="6"/>
        <v>45</v>
      </c>
      <c r="B72" s="39" t="s">
        <v>221</v>
      </c>
      <c r="C72" s="77">
        <v>0.59</v>
      </c>
      <c r="D72" s="65">
        <v>40</v>
      </c>
      <c r="E72" s="95">
        <v>200</v>
      </c>
      <c r="F72" s="159">
        <f>_xlfn.IFNA(VLOOKUP(B72,'PACKING LIST'!$B$35:$F$54,5,FALSE),0)</f>
        <v>0</v>
      </c>
      <c r="G72" s="106">
        <f t="shared" ref="G72" si="58">ROUNDUP(F72/E72,0)</f>
        <v>0</v>
      </c>
      <c r="H72" s="57">
        <f t="shared" si="47"/>
        <v>0</v>
      </c>
      <c r="I72" s="64"/>
      <c r="J72" s="64">
        <f t="shared" ref="J72" si="59">G72*1</f>
        <v>0</v>
      </c>
      <c r="K72" s="62">
        <f t="shared" ref="K72" si="60">J72+I72+H72</f>
        <v>0</v>
      </c>
      <c r="L72" s="62" t="s">
        <v>53</v>
      </c>
      <c r="M72" s="161">
        <v>63079090</v>
      </c>
      <c r="N72" s="140" t="s">
        <v>279</v>
      </c>
      <c r="O72" s="140"/>
      <c r="P72" s="21" t="s">
        <v>222</v>
      </c>
    </row>
    <row r="73" spans="1:16">
      <c r="A73" s="159">
        <f t="shared" si="6"/>
        <v>46</v>
      </c>
      <c r="B73" s="39" t="s">
        <v>252</v>
      </c>
      <c r="C73" s="100">
        <v>0.105</v>
      </c>
      <c r="D73" s="65">
        <v>5.85</v>
      </c>
      <c r="E73" s="184">
        <v>1</v>
      </c>
      <c r="F73" s="159">
        <f>_xlfn.IFNA(VLOOKUP(B73,'PACKING LIST'!$B$35:$F$54,5,FALSE),0)</f>
        <v>0</v>
      </c>
      <c r="G73" s="106">
        <f t="shared" ref="G73" si="61">ROUNDUP(F73/E73,0)</f>
        <v>0</v>
      </c>
      <c r="H73" s="57">
        <f>F73*D73/1000</f>
        <v>0</v>
      </c>
      <c r="I73" s="64"/>
      <c r="J73" s="64">
        <v>3</v>
      </c>
      <c r="K73" s="62">
        <f>J73+I73+H73</f>
        <v>3</v>
      </c>
      <c r="L73" s="62" t="s">
        <v>53</v>
      </c>
      <c r="M73" s="161">
        <v>63079090</v>
      </c>
      <c r="N73" s="140" t="s">
        <v>279</v>
      </c>
      <c r="O73" s="140"/>
    </row>
    <row r="74" spans="1:16">
      <c r="A74" s="159">
        <f t="shared" si="6"/>
        <v>47</v>
      </c>
      <c r="B74" s="39" t="s">
        <v>253</v>
      </c>
      <c r="C74" s="100">
        <v>0.105</v>
      </c>
      <c r="D74" s="65">
        <v>5.85</v>
      </c>
      <c r="E74" s="184">
        <v>1</v>
      </c>
      <c r="F74" s="159">
        <f>_xlfn.IFNA(VLOOKUP(B74,'PACKING LIST'!$B$35:$F$54,5,FALSE),0)</f>
        <v>0</v>
      </c>
      <c r="G74" s="106">
        <f t="shared" ref="G74:G93" si="62">ROUNDUP(F74/E74,0)</f>
        <v>0</v>
      </c>
      <c r="H74" s="57">
        <f t="shared" ref="H74:H93" si="63">F74*D74/1000</f>
        <v>0</v>
      </c>
      <c r="I74" s="64"/>
      <c r="J74" s="64">
        <v>1</v>
      </c>
      <c r="K74" s="62">
        <f t="shared" ref="K74:K93" si="64">J74+I74+H74</f>
        <v>1</v>
      </c>
      <c r="L74" s="62" t="s">
        <v>53</v>
      </c>
      <c r="M74" s="161">
        <v>63079090</v>
      </c>
      <c r="N74" s="140" t="s">
        <v>279</v>
      </c>
      <c r="O74" s="140"/>
    </row>
    <row r="75" spans="1:16">
      <c r="A75" s="159"/>
      <c r="B75" s="39" t="s">
        <v>281</v>
      </c>
      <c r="C75" s="100">
        <v>0.105</v>
      </c>
      <c r="D75" s="65">
        <v>5.85</v>
      </c>
      <c r="E75" s="184">
        <v>1</v>
      </c>
      <c r="F75" s="159">
        <f>_xlfn.IFNA(VLOOKUP(B75,'PACKING LIST'!$B$35:$F$54,5,FALSE),0)</f>
        <v>0</v>
      </c>
      <c r="G75" s="106">
        <f t="shared" ref="G75:G78" si="65">ROUNDUP(F75/E75,0)</f>
        <v>0</v>
      </c>
      <c r="H75" s="57">
        <f t="shared" ref="H75:H78" si="66">F75*D75/1000</f>
        <v>0</v>
      </c>
      <c r="I75" s="64"/>
      <c r="J75" s="64">
        <v>1</v>
      </c>
      <c r="K75" s="62">
        <f t="shared" ref="K75:K78" si="67">J75+I75+H75</f>
        <v>1</v>
      </c>
      <c r="L75" s="62" t="s">
        <v>53</v>
      </c>
      <c r="M75" s="161"/>
      <c r="N75" s="140"/>
      <c r="O75" s="140"/>
    </row>
    <row r="76" spans="1:16">
      <c r="A76" s="159"/>
      <c r="B76" s="39" t="s">
        <v>283</v>
      </c>
      <c r="C76" s="100">
        <v>0.105</v>
      </c>
      <c r="D76" s="65">
        <v>5.85</v>
      </c>
      <c r="E76" s="184">
        <v>1</v>
      </c>
      <c r="F76" s="159">
        <f>_xlfn.IFNA(VLOOKUP(B76,'PACKING LIST'!$B$35:$F$54,5,FALSE),0)</f>
        <v>0</v>
      </c>
      <c r="G76" s="106">
        <f t="shared" si="65"/>
        <v>0</v>
      </c>
      <c r="H76" s="57">
        <f t="shared" si="66"/>
        <v>0</v>
      </c>
      <c r="I76" s="64"/>
      <c r="J76" s="64">
        <v>1</v>
      </c>
      <c r="K76" s="62">
        <f t="shared" si="67"/>
        <v>1</v>
      </c>
      <c r="L76" s="62" t="s">
        <v>53</v>
      </c>
      <c r="M76" s="161"/>
      <c r="N76" s="140"/>
      <c r="O76" s="140"/>
    </row>
    <row r="77" spans="1:16">
      <c r="A77" s="159"/>
      <c r="B77" s="39" t="s">
        <v>282</v>
      </c>
      <c r="C77" s="100">
        <v>0.105</v>
      </c>
      <c r="D77" s="65">
        <v>5.85</v>
      </c>
      <c r="E77" s="184">
        <v>1</v>
      </c>
      <c r="F77" s="159">
        <f>_xlfn.IFNA(VLOOKUP(B77,'PACKING LIST'!$B$35:$F$54,5,FALSE),0)</f>
        <v>0</v>
      </c>
      <c r="G77" s="106">
        <f t="shared" si="65"/>
        <v>0</v>
      </c>
      <c r="H77" s="57">
        <f t="shared" si="66"/>
        <v>0</v>
      </c>
      <c r="I77" s="64"/>
      <c r="J77" s="64">
        <v>1</v>
      </c>
      <c r="K77" s="62">
        <f t="shared" si="67"/>
        <v>1</v>
      </c>
      <c r="L77" s="62" t="s">
        <v>53</v>
      </c>
      <c r="M77" s="161"/>
      <c r="N77" s="140"/>
      <c r="O77" s="140"/>
    </row>
    <row r="78" spans="1:16">
      <c r="A78" s="159"/>
      <c r="B78" s="39" t="s">
        <v>284</v>
      </c>
      <c r="C78" s="100">
        <v>0.105</v>
      </c>
      <c r="D78" s="65">
        <v>5.85</v>
      </c>
      <c r="E78" s="184">
        <v>1</v>
      </c>
      <c r="F78" s="159">
        <f>_xlfn.IFNA(VLOOKUP(B78,'PACKING LIST'!$B$35:$F$54,5,FALSE),0)</f>
        <v>0</v>
      </c>
      <c r="G78" s="106">
        <f t="shared" si="65"/>
        <v>0</v>
      </c>
      <c r="H78" s="57">
        <f t="shared" si="66"/>
        <v>0</v>
      </c>
      <c r="I78" s="64"/>
      <c r="J78" s="64">
        <v>1</v>
      </c>
      <c r="K78" s="62">
        <f t="shared" si="67"/>
        <v>1</v>
      </c>
      <c r="L78" s="62" t="s">
        <v>53</v>
      </c>
      <c r="M78" s="161"/>
      <c r="N78" s="140"/>
      <c r="O78" s="140"/>
    </row>
    <row r="79" spans="1:16">
      <c r="A79" s="159">
        <f>A74+1</f>
        <v>48</v>
      </c>
      <c r="B79" s="159" t="s">
        <v>254</v>
      </c>
      <c r="C79" s="77">
        <v>0.42</v>
      </c>
      <c r="D79" s="65">
        <v>25</v>
      </c>
      <c r="E79" s="95">
        <v>240</v>
      </c>
      <c r="F79" s="159">
        <f>_xlfn.IFNA(VLOOKUP(B79,'[3]PACKING LIST'!$B$35:$E$48,4,FALSE),0)</f>
        <v>0</v>
      </c>
      <c r="G79" s="106">
        <f t="shared" si="62"/>
        <v>0</v>
      </c>
      <c r="H79" s="57">
        <f t="shared" si="63"/>
        <v>0</v>
      </c>
      <c r="I79" s="64"/>
      <c r="J79" s="64">
        <f t="shared" ref="J79:J88" si="68">G79*1.4</f>
        <v>0</v>
      </c>
      <c r="K79" s="62">
        <f t="shared" si="64"/>
        <v>0</v>
      </c>
      <c r="L79" s="62" t="s">
        <v>53</v>
      </c>
      <c r="M79" s="161">
        <v>63079090</v>
      </c>
      <c r="N79" s="140" t="s">
        <v>279</v>
      </c>
      <c r="O79" s="140"/>
      <c r="P79" s="21" t="s">
        <v>255</v>
      </c>
    </row>
    <row r="80" spans="1:16">
      <c r="A80" s="159">
        <f t="shared" si="6"/>
        <v>49</v>
      </c>
      <c r="B80" s="159" t="s">
        <v>256</v>
      </c>
      <c r="C80" s="77">
        <v>0.42</v>
      </c>
      <c r="D80" s="65">
        <v>24.5</v>
      </c>
      <c r="E80" s="95">
        <v>240</v>
      </c>
      <c r="F80" s="159">
        <f>_xlfn.IFNA(VLOOKUP(B80,'[3]PACKING LIST'!$B$35:$E$48,4,FALSE),0)</f>
        <v>0</v>
      </c>
      <c r="G80" s="106">
        <f t="shared" si="62"/>
        <v>0</v>
      </c>
      <c r="H80" s="57">
        <f t="shared" si="63"/>
        <v>0</v>
      </c>
      <c r="I80" s="64"/>
      <c r="J80" s="64">
        <f t="shared" si="68"/>
        <v>0</v>
      </c>
      <c r="K80" s="62">
        <f t="shared" si="64"/>
        <v>0</v>
      </c>
      <c r="L80" s="62" t="s">
        <v>53</v>
      </c>
      <c r="M80" s="161">
        <v>63079090</v>
      </c>
      <c r="N80" s="140" t="s">
        <v>279</v>
      </c>
      <c r="O80" s="140"/>
    </row>
    <row r="81" spans="1:16">
      <c r="A81" s="159">
        <f t="shared" si="6"/>
        <v>50</v>
      </c>
      <c r="B81" s="159" t="s">
        <v>257</v>
      </c>
      <c r="C81" s="77">
        <v>0.42</v>
      </c>
      <c r="D81" s="65">
        <v>24.5</v>
      </c>
      <c r="E81" s="95">
        <v>240</v>
      </c>
      <c r="F81" s="159">
        <f>_xlfn.IFNA(VLOOKUP(B81,'[3]PACKING LIST'!$B$35:$E$48,4,FALSE),0)</f>
        <v>0</v>
      </c>
      <c r="G81" s="106">
        <f t="shared" si="62"/>
        <v>0</v>
      </c>
      <c r="H81" s="57">
        <f t="shared" si="63"/>
        <v>0</v>
      </c>
      <c r="I81" s="64"/>
      <c r="J81" s="64">
        <f t="shared" si="68"/>
        <v>0</v>
      </c>
      <c r="K81" s="62">
        <f t="shared" si="64"/>
        <v>0</v>
      </c>
      <c r="L81" s="62" t="s">
        <v>53</v>
      </c>
      <c r="M81" s="161">
        <v>63079090</v>
      </c>
      <c r="N81" s="140" t="s">
        <v>279</v>
      </c>
      <c r="O81" s="140"/>
    </row>
    <row r="82" spans="1:16">
      <c r="A82" s="159">
        <f t="shared" si="6"/>
        <v>51</v>
      </c>
      <c r="B82" s="159" t="s">
        <v>258</v>
      </c>
      <c r="C82" s="77">
        <v>0.42</v>
      </c>
      <c r="D82" s="65">
        <v>24.5</v>
      </c>
      <c r="E82" s="95">
        <v>240</v>
      </c>
      <c r="F82" s="159">
        <f>_xlfn.IFNA(VLOOKUP(B82,'[3]PACKING LIST'!$B$35:$E$48,4,FALSE),0)</f>
        <v>0</v>
      </c>
      <c r="G82" s="106">
        <f t="shared" si="62"/>
        <v>0</v>
      </c>
      <c r="H82" s="57">
        <f t="shared" si="63"/>
        <v>0</v>
      </c>
      <c r="I82" s="64"/>
      <c r="J82" s="64">
        <f t="shared" si="68"/>
        <v>0</v>
      </c>
      <c r="K82" s="62">
        <f t="shared" si="64"/>
        <v>0</v>
      </c>
      <c r="L82" s="62" t="s">
        <v>53</v>
      </c>
      <c r="M82" s="161">
        <v>63079090</v>
      </c>
      <c r="N82" s="140" t="s">
        <v>279</v>
      </c>
      <c r="O82" s="140"/>
    </row>
    <row r="83" spans="1:16">
      <c r="A83" s="159">
        <f t="shared" si="6"/>
        <v>52</v>
      </c>
      <c r="B83" s="159" t="s">
        <v>259</v>
      </c>
      <c r="C83" s="77">
        <v>0.42</v>
      </c>
      <c r="D83" s="65">
        <v>24.5</v>
      </c>
      <c r="E83" s="95">
        <v>240</v>
      </c>
      <c r="F83" s="159">
        <f>_xlfn.IFNA(VLOOKUP(B83,'[3]PACKING LIST'!$B$35:$E$48,4,FALSE),0)</f>
        <v>0</v>
      </c>
      <c r="G83" s="106">
        <f t="shared" si="62"/>
        <v>0</v>
      </c>
      <c r="H83" s="57">
        <f t="shared" si="63"/>
        <v>0</v>
      </c>
      <c r="I83" s="64"/>
      <c r="J83" s="64">
        <f t="shared" si="68"/>
        <v>0</v>
      </c>
      <c r="K83" s="62">
        <f t="shared" si="64"/>
        <v>0</v>
      </c>
      <c r="L83" s="62" t="s">
        <v>53</v>
      </c>
      <c r="M83" s="161">
        <v>63079090</v>
      </c>
      <c r="N83" s="140" t="s">
        <v>279</v>
      </c>
      <c r="O83" s="140"/>
    </row>
    <row r="84" spans="1:16">
      <c r="A84" s="159">
        <f t="shared" si="6"/>
        <v>53</v>
      </c>
      <c r="B84" s="159" t="s">
        <v>260</v>
      </c>
      <c r="C84" s="77">
        <v>0.42</v>
      </c>
      <c r="D84" s="65">
        <v>24.5</v>
      </c>
      <c r="E84" s="95">
        <v>240</v>
      </c>
      <c r="F84" s="159">
        <f>_xlfn.IFNA(VLOOKUP(B84,'[3]PACKING LIST'!$B$35:$E$48,4,FALSE),0)</f>
        <v>0</v>
      </c>
      <c r="G84" s="106">
        <f t="shared" si="62"/>
        <v>0</v>
      </c>
      <c r="H84" s="57">
        <f t="shared" si="63"/>
        <v>0</v>
      </c>
      <c r="I84" s="64"/>
      <c r="J84" s="64">
        <f t="shared" si="68"/>
        <v>0</v>
      </c>
      <c r="K84" s="62">
        <f t="shared" si="64"/>
        <v>0</v>
      </c>
      <c r="L84" s="62" t="s">
        <v>53</v>
      </c>
      <c r="M84" s="161">
        <v>63079090</v>
      </c>
      <c r="N84" s="140" t="s">
        <v>279</v>
      </c>
      <c r="O84" s="140"/>
    </row>
    <row r="85" spans="1:16">
      <c r="A85" s="159">
        <f t="shared" si="6"/>
        <v>54</v>
      </c>
      <c r="B85" s="159" t="s">
        <v>261</v>
      </c>
      <c r="C85" s="77">
        <v>0.41</v>
      </c>
      <c r="D85" s="65">
        <v>20.5</v>
      </c>
      <c r="E85" s="95">
        <v>240</v>
      </c>
      <c r="F85" s="159">
        <f>_xlfn.IFNA(VLOOKUP(B85,'[3]PACKING LIST'!$B$35:$E$48,4,FALSE),0)</f>
        <v>0</v>
      </c>
      <c r="G85" s="106">
        <f t="shared" si="62"/>
        <v>0</v>
      </c>
      <c r="H85" s="57">
        <f t="shared" si="63"/>
        <v>0</v>
      </c>
      <c r="I85" s="64"/>
      <c r="J85" s="64">
        <f t="shared" si="68"/>
        <v>0</v>
      </c>
      <c r="K85" s="62">
        <f t="shared" si="64"/>
        <v>0</v>
      </c>
      <c r="L85" s="62" t="s">
        <v>53</v>
      </c>
      <c r="M85" s="161">
        <v>63079090</v>
      </c>
      <c r="N85" s="140" t="s">
        <v>279</v>
      </c>
      <c r="O85" s="140"/>
    </row>
    <row r="86" spans="1:16">
      <c r="A86" s="159">
        <f t="shared" si="6"/>
        <v>55</v>
      </c>
      <c r="B86" s="159" t="s">
        <v>262</v>
      </c>
      <c r="C86" s="77">
        <v>1.61</v>
      </c>
      <c r="D86" s="65">
        <v>135</v>
      </c>
      <c r="E86" s="159" t="s">
        <v>263</v>
      </c>
      <c r="F86" s="159">
        <f>_xlfn.IFNA(VLOOKUP(B86,'[3]PACKING LIST'!$B$35:$E$48,4,FALSE),0)</f>
        <v>3920</v>
      </c>
      <c r="G86" s="106" t="e">
        <f t="shared" si="62"/>
        <v>#VALUE!</v>
      </c>
      <c r="H86" s="57">
        <f t="shared" si="63"/>
        <v>529.20000000000005</v>
      </c>
      <c r="I86" s="64"/>
      <c r="J86" s="64" t="e">
        <f t="shared" si="68"/>
        <v>#VALUE!</v>
      </c>
      <c r="K86" s="62" t="e">
        <f t="shared" si="64"/>
        <v>#VALUE!</v>
      </c>
      <c r="L86" s="62" t="s">
        <v>53</v>
      </c>
      <c r="M86" s="161">
        <v>63079090</v>
      </c>
      <c r="N86" s="140" t="s">
        <v>279</v>
      </c>
      <c r="O86" s="140"/>
      <c r="P86" s="21" t="s">
        <v>239</v>
      </c>
    </row>
    <row r="87" spans="1:16">
      <c r="A87" s="159">
        <f t="shared" si="6"/>
        <v>56</v>
      </c>
      <c r="B87" s="159" t="s">
        <v>264</v>
      </c>
      <c r="C87" s="77">
        <v>1.61</v>
      </c>
      <c r="D87" s="65">
        <v>135</v>
      </c>
      <c r="E87" s="159" t="s">
        <v>263</v>
      </c>
      <c r="F87" s="159">
        <f>_xlfn.IFNA(VLOOKUP(B87,'[3]PACKING LIST'!$B$35:$E$48,4,FALSE),0)</f>
        <v>4000</v>
      </c>
      <c r="G87" s="106" t="e">
        <f t="shared" si="62"/>
        <v>#VALUE!</v>
      </c>
      <c r="H87" s="57">
        <f>F87*D87/1000</f>
        <v>540</v>
      </c>
      <c r="I87" s="64"/>
      <c r="J87" s="64" t="e">
        <f t="shared" si="68"/>
        <v>#VALUE!</v>
      </c>
      <c r="K87" s="62" t="e">
        <f t="shared" si="64"/>
        <v>#VALUE!</v>
      </c>
      <c r="L87" s="62" t="s">
        <v>53</v>
      </c>
      <c r="M87" s="161">
        <v>63079090</v>
      </c>
      <c r="N87" s="140" t="s">
        <v>279</v>
      </c>
      <c r="O87" s="140"/>
    </row>
    <row r="88" spans="1:16">
      <c r="A88" s="159">
        <f t="shared" si="6"/>
        <v>57</v>
      </c>
      <c r="B88" s="159" t="s">
        <v>265</v>
      </c>
      <c r="C88" s="77">
        <v>1.61</v>
      </c>
      <c r="D88" s="65">
        <v>135</v>
      </c>
      <c r="E88" s="159" t="s">
        <v>263</v>
      </c>
      <c r="F88" s="159">
        <f>_xlfn.IFNA(VLOOKUP(B88,'[3]PACKING LIST'!$B$35:$E$48,4,FALSE),0)</f>
        <v>0</v>
      </c>
      <c r="G88" s="106" t="e">
        <f t="shared" si="62"/>
        <v>#VALUE!</v>
      </c>
      <c r="H88" s="57">
        <f t="shared" si="63"/>
        <v>0</v>
      </c>
      <c r="I88" s="64"/>
      <c r="J88" s="64" t="e">
        <f t="shared" si="68"/>
        <v>#VALUE!</v>
      </c>
      <c r="K88" s="62" t="e">
        <f t="shared" si="64"/>
        <v>#VALUE!</v>
      </c>
      <c r="L88" s="62" t="s">
        <v>53</v>
      </c>
      <c r="M88" s="161">
        <v>63079090</v>
      </c>
      <c r="N88" s="140" t="s">
        <v>279</v>
      </c>
      <c r="O88" s="140"/>
    </row>
    <row r="89" spans="1:16">
      <c r="A89" s="159">
        <f t="shared" si="6"/>
        <v>58</v>
      </c>
      <c r="B89" s="159" t="s">
        <v>266</v>
      </c>
      <c r="C89" s="77">
        <v>1.61</v>
      </c>
      <c r="D89" s="65">
        <v>135</v>
      </c>
      <c r="E89" s="159" t="s">
        <v>263</v>
      </c>
      <c r="F89" s="159">
        <f>_xlfn.IFNA(VLOOKUP(B89,'[3]PACKING LIST'!$B$35:$E$48,4,FALSE),0)</f>
        <v>5000</v>
      </c>
      <c r="G89" s="106" t="e">
        <f t="shared" si="62"/>
        <v>#VALUE!</v>
      </c>
      <c r="H89" s="57">
        <f t="shared" si="63"/>
        <v>675</v>
      </c>
      <c r="I89" s="64"/>
      <c r="J89" s="64" t="e">
        <f>G89*1.4</f>
        <v>#VALUE!</v>
      </c>
      <c r="K89" s="62" t="e">
        <f t="shared" si="64"/>
        <v>#VALUE!</v>
      </c>
      <c r="L89" s="62" t="s">
        <v>53</v>
      </c>
      <c r="M89" s="161">
        <v>63079090</v>
      </c>
      <c r="N89" s="140" t="s">
        <v>279</v>
      </c>
      <c r="O89" s="140"/>
    </row>
    <row r="90" spans="1:16">
      <c r="A90" s="159">
        <f t="shared" si="6"/>
        <v>59</v>
      </c>
      <c r="B90" s="159" t="s">
        <v>267</v>
      </c>
      <c r="C90" s="77">
        <v>1.61</v>
      </c>
      <c r="D90" s="65">
        <v>135</v>
      </c>
      <c r="E90" s="159" t="s">
        <v>263</v>
      </c>
      <c r="F90" s="159">
        <f>_xlfn.IFNA(VLOOKUP(B90,'[3]PACKING LIST'!$B$35:$E$48,4,FALSE),0)</f>
        <v>5000</v>
      </c>
      <c r="G90" s="106" t="e">
        <f t="shared" si="62"/>
        <v>#VALUE!</v>
      </c>
      <c r="H90" s="57">
        <f t="shared" si="63"/>
        <v>675</v>
      </c>
      <c r="I90" s="64"/>
      <c r="J90" s="64" t="e">
        <f t="shared" ref="J90:J93" si="69">G90*1.4</f>
        <v>#VALUE!</v>
      </c>
      <c r="K90" s="62" t="e">
        <f t="shared" si="64"/>
        <v>#VALUE!</v>
      </c>
      <c r="L90" s="62" t="s">
        <v>53</v>
      </c>
      <c r="M90" s="161">
        <v>63079090</v>
      </c>
      <c r="N90" s="140" t="s">
        <v>279</v>
      </c>
      <c r="O90" s="140"/>
    </row>
    <row r="91" spans="1:16">
      <c r="A91" s="159">
        <f t="shared" si="6"/>
        <v>60</v>
      </c>
      <c r="B91" s="159" t="s">
        <v>268</v>
      </c>
      <c r="C91" s="77">
        <v>1.61</v>
      </c>
      <c r="D91" s="65">
        <v>135</v>
      </c>
      <c r="E91" s="159" t="s">
        <v>263</v>
      </c>
      <c r="F91" s="159">
        <f>_xlfn.IFNA(VLOOKUP(B91,'[3]PACKING LIST'!$B$35:$E$48,4,FALSE),0)</f>
        <v>2000</v>
      </c>
      <c r="G91" s="106" t="e">
        <f t="shared" si="62"/>
        <v>#VALUE!</v>
      </c>
      <c r="H91" s="57">
        <f t="shared" si="63"/>
        <v>270</v>
      </c>
      <c r="I91" s="64"/>
      <c r="J91" s="64" t="e">
        <f t="shared" si="69"/>
        <v>#VALUE!</v>
      </c>
      <c r="K91" s="62" t="e">
        <f t="shared" si="64"/>
        <v>#VALUE!</v>
      </c>
      <c r="L91" s="62" t="s">
        <v>53</v>
      </c>
      <c r="M91" s="161">
        <v>63079090</v>
      </c>
      <c r="N91" s="140" t="s">
        <v>279</v>
      </c>
      <c r="O91" s="140"/>
    </row>
    <row r="92" spans="1:16">
      <c r="A92" s="159">
        <f t="shared" si="6"/>
        <v>61</v>
      </c>
      <c r="B92" s="159" t="s">
        <v>269</v>
      </c>
      <c r="C92" s="77">
        <v>1.55</v>
      </c>
      <c r="D92" s="65">
        <v>135</v>
      </c>
      <c r="E92" s="159" t="s">
        <v>263</v>
      </c>
      <c r="F92" s="159">
        <f>_xlfn.IFNA(VLOOKUP(B92,'[3]PACKING LIST'!$B$35:$E$48,4,FALSE),0)</f>
        <v>0</v>
      </c>
      <c r="G92" s="106" t="e">
        <f t="shared" si="62"/>
        <v>#VALUE!</v>
      </c>
      <c r="H92" s="57">
        <f t="shared" si="63"/>
        <v>0</v>
      </c>
      <c r="I92" s="64"/>
      <c r="J92" s="64" t="e">
        <f t="shared" si="69"/>
        <v>#VALUE!</v>
      </c>
      <c r="K92" s="62" t="e">
        <f t="shared" si="64"/>
        <v>#VALUE!</v>
      </c>
      <c r="L92" s="62" t="s">
        <v>53</v>
      </c>
      <c r="M92" s="161">
        <v>63079090</v>
      </c>
      <c r="N92" s="140" t="s">
        <v>279</v>
      </c>
      <c r="O92" s="140"/>
    </row>
    <row r="93" spans="1:16">
      <c r="A93" s="159">
        <f t="shared" si="6"/>
        <v>62</v>
      </c>
      <c r="B93" s="159" t="s">
        <v>270</v>
      </c>
      <c r="C93" s="77">
        <v>1.61</v>
      </c>
      <c r="D93" s="65">
        <v>135</v>
      </c>
      <c r="E93" s="159" t="s">
        <v>263</v>
      </c>
      <c r="F93" s="159">
        <f>_xlfn.IFNA(VLOOKUP(B93,'[3]PACKING LIST'!$B$35:$E$48,4,FALSE),0)</f>
        <v>4000</v>
      </c>
      <c r="G93" s="106" t="e">
        <f t="shared" si="62"/>
        <v>#VALUE!</v>
      </c>
      <c r="H93" s="57">
        <f t="shared" si="63"/>
        <v>540</v>
      </c>
      <c r="I93" s="64"/>
      <c r="J93" s="64" t="e">
        <f t="shared" si="69"/>
        <v>#VALUE!</v>
      </c>
      <c r="K93" s="62" t="e">
        <f t="shared" si="64"/>
        <v>#VALUE!</v>
      </c>
      <c r="L93" s="62" t="s">
        <v>53</v>
      </c>
      <c r="M93" s="161">
        <v>63079090</v>
      </c>
      <c r="N93" s="140" t="s">
        <v>279</v>
      </c>
      <c r="O93" s="140"/>
    </row>
    <row r="94" spans="1:16">
      <c r="A94" s="159">
        <f t="shared" si="6"/>
        <v>63</v>
      </c>
      <c r="B94" s="159" t="s">
        <v>271</v>
      </c>
      <c r="C94" s="77">
        <v>1.61</v>
      </c>
      <c r="D94" s="65">
        <v>135</v>
      </c>
      <c r="E94" s="159" t="s">
        <v>263</v>
      </c>
      <c r="F94" s="159">
        <f>_xlfn.IFNA(VLOOKUP(B94,'[3]PACKING LIST'!$B$35:$E$48,4,FALSE),0)</f>
        <v>3320</v>
      </c>
      <c r="G94" s="106" t="e">
        <f t="shared" ref="G94" si="70">ROUNDUP(F94/E94,0)</f>
        <v>#VALUE!</v>
      </c>
      <c r="H94" s="57">
        <f t="shared" ref="H94" si="71">F94*D94/1000</f>
        <v>448.2</v>
      </c>
      <c r="I94" s="64"/>
      <c r="J94" s="64" t="e">
        <f t="shared" ref="J94" si="72">G94*1.4</f>
        <v>#VALUE!</v>
      </c>
      <c r="K94" s="62" t="e">
        <f t="shared" ref="K94" si="73">J94+I94+H94</f>
        <v>#VALUE!</v>
      </c>
      <c r="L94" s="62" t="s">
        <v>53</v>
      </c>
      <c r="M94" s="161">
        <v>63079090</v>
      </c>
      <c r="N94" s="140" t="s">
        <v>279</v>
      </c>
      <c r="O94" s="140"/>
    </row>
    <row r="95" spans="1:16">
      <c r="A95" s="159">
        <f t="shared" si="6"/>
        <v>64</v>
      </c>
      <c r="B95" s="159" t="s">
        <v>272</v>
      </c>
      <c r="C95" s="77">
        <v>5</v>
      </c>
      <c r="D95" s="39"/>
      <c r="E95" s="78"/>
      <c r="F95" s="159">
        <f>_xlfn.IFNA(VLOOKUP(B95,'[3]PACKING LIST'!$B$35:$E$48,4,FALSE),0)</f>
        <v>0</v>
      </c>
      <c r="G95" s="106" t="e">
        <f t="shared" ref="G95:G110" si="74">ROUNDUP(F95/E95,0)</f>
        <v>#DIV/0!</v>
      </c>
      <c r="H95" s="57">
        <f t="shared" ref="H95:H110" si="75">F95*D95/1000</f>
        <v>0</v>
      </c>
      <c r="I95" s="64"/>
      <c r="J95" s="64" t="e">
        <f t="shared" ref="J95:J110" si="76">G95*1.4</f>
        <v>#DIV/0!</v>
      </c>
      <c r="K95" s="62" t="e">
        <f t="shared" ref="K95:K110" si="77">J95+I95+H95</f>
        <v>#DIV/0!</v>
      </c>
      <c r="L95" s="159" t="s">
        <v>54</v>
      </c>
      <c r="M95" s="161"/>
      <c r="N95" s="161"/>
      <c r="O95" s="161"/>
    </row>
    <row r="96" spans="1:16">
      <c r="A96" s="159">
        <f t="shared" si="6"/>
        <v>65</v>
      </c>
      <c r="B96" s="191" t="s">
        <v>274</v>
      </c>
      <c r="C96" s="77">
        <v>28</v>
      </c>
      <c r="D96" s="65">
        <v>220</v>
      </c>
      <c r="E96" s="78">
        <v>6</v>
      </c>
      <c r="F96" s="159">
        <f>_xlfn.IFNA(VLOOKUP(B96,'[3]PACKING LIST'!$B$35:$E$48,4,FALSE),0)</f>
        <v>0</v>
      </c>
      <c r="G96" s="106">
        <f t="shared" si="74"/>
        <v>0</v>
      </c>
      <c r="H96" s="57">
        <f t="shared" si="75"/>
        <v>0</v>
      </c>
      <c r="I96" s="64"/>
      <c r="J96" s="64">
        <f t="shared" si="76"/>
        <v>0</v>
      </c>
      <c r="K96" s="62">
        <f t="shared" si="77"/>
        <v>0</v>
      </c>
      <c r="L96" s="159" t="s">
        <v>54</v>
      </c>
      <c r="M96" s="161">
        <v>39269099</v>
      </c>
      <c r="N96" s="161" t="s">
        <v>279</v>
      </c>
      <c r="O96" s="161"/>
    </row>
    <row r="97" spans="1:15">
      <c r="A97" s="159">
        <f t="shared" si="6"/>
        <v>66</v>
      </c>
      <c r="B97" s="191" t="s">
        <v>275</v>
      </c>
      <c r="C97" s="77">
        <v>28</v>
      </c>
      <c r="D97" s="65">
        <v>410</v>
      </c>
      <c r="E97" s="39"/>
      <c r="F97" s="159">
        <f>_xlfn.IFNA(VLOOKUP(B97,'[3]PACKING LIST'!$B$35:$E$48,4,FALSE),0)</f>
        <v>0</v>
      </c>
      <c r="G97" s="106" t="e">
        <f t="shared" si="74"/>
        <v>#DIV/0!</v>
      </c>
      <c r="H97" s="57">
        <f t="shared" si="75"/>
        <v>0</v>
      </c>
      <c r="I97" s="64"/>
      <c r="J97" s="64" t="e">
        <f t="shared" si="76"/>
        <v>#DIV/0!</v>
      </c>
      <c r="K97" s="62" t="e">
        <f t="shared" si="77"/>
        <v>#DIV/0!</v>
      </c>
      <c r="L97" s="159" t="s">
        <v>54</v>
      </c>
      <c r="M97" s="161">
        <v>39269099</v>
      </c>
      <c r="N97" s="161" t="s">
        <v>279</v>
      </c>
      <c r="O97" s="161"/>
    </row>
    <row r="98" spans="1:15">
      <c r="A98" s="159"/>
      <c r="B98" s="191" t="s">
        <v>302</v>
      </c>
      <c r="C98" s="77">
        <f>10</f>
        <v>10</v>
      </c>
      <c r="D98" s="65">
        <v>406</v>
      </c>
      <c r="E98" s="39"/>
      <c r="F98" s="159"/>
      <c r="G98" s="106" t="e">
        <f t="shared" ref="G98:G103" si="78">ROUNDUP(F98/E98,0)</f>
        <v>#DIV/0!</v>
      </c>
      <c r="H98" s="57">
        <f t="shared" ref="H98:H103" si="79">F98*D98/1000</f>
        <v>0</v>
      </c>
      <c r="I98" s="64"/>
      <c r="J98" s="64" t="e">
        <f t="shared" ref="J98:J103" si="80">G98*1.4</f>
        <v>#DIV/0!</v>
      </c>
      <c r="K98" s="62" t="e">
        <f t="shared" ref="K98:K103" si="81">J98+I98+H98</f>
        <v>#DIV/0!</v>
      </c>
      <c r="L98" s="159" t="s">
        <v>54</v>
      </c>
      <c r="M98" s="161"/>
      <c r="N98" s="161"/>
      <c r="O98" s="161"/>
    </row>
    <row r="99" spans="1:15">
      <c r="A99" s="159"/>
      <c r="B99" s="191" t="s">
        <v>303</v>
      </c>
      <c r="C99" s="77">
        <f>10</f>
        <v>10</v>
      </c>
      <c r="D99" s="65">
        <v>702</v>
      </c>
      <c r="E99" s="39"/>
      <c r="F99" s="159"/>
      <c r="G99" s="106" t="e">
        <f t="shared" si="78"/>
        <v>#DIV/0!</v>
      </c>
      <c r="H99" s="57">
        <f t="shared" si="79"/>
        <v>0</v>
      </c>
      <c r="I99" s="64"/>
      <c r="J99" s="64" t="e">
        <f t="shared" si="80"/>
        <v>#DIV/0!</v>
      </c>
      <c r="K99" s="62" t="e">
        <f t="shared" si="81"/>
        <v>#DIV/0!</v>
      </c>
      <c r="L99" s="159" t="s">
        <v>54</v>
      </c>
      <c r="M99" s="161"/>
      <c r="N99" s="161"/>
      <c r="O99" s="161"/>
    </row>
    <row r="100" spans="1:15" ht="21.8" customHeight="1">
      <c r="A100" s="159"/>
      <c r="B100" s="191" t="s">
        <v>304</v>
      </c>
      <c r="C100" s="77">
        <f>10</f>
        <v>10</v>
      </c>
      <c r="D100" s="65">
        <v>225</v>
      </c>
      <c r="E100" s="39"/>
      <c r="F100" s="159"/>
      <c r="G100" s="106" t="e">
        <f t="shared" si="78"/>
        <v>#DIV/0!</v>
      </c>
      <c r="H100" s="57">
        <f t="shared" si="79"/>
        <v>0</v>
      </c>
      <c r="I100" s="64"/>
      <c r="J100" s="64" t="e">
        <f t="shared" si="80"/>
        <v>#DIV/0!</v>
      </c>
      <c r="K100" s="62" t="e">
        <f t="shared" si="81"/>
        <v>#DIV/0!</v>
      </c>
      <c r="L100" s="159" t="s">
        <v>54</v>
      </c>
      <c r="M100" s="161"/>
      <c r="N100" s="161"/>
      <c r="O100" s="161"/>
    </row>
    <row r="101" spans="1:15" ht="28.8">
      <c r="A101" s="159"/>
      <c r="B101" s="191" t="s">
        <v>305</v>
      </c>
      <c r="C101" s="77">
        <f>10</f>
        <v>10</v>
      </c>
      <c r="D101" s="65">
        <v>601</v>
      </c>
      <c r="E101" s="39"/>
      <c r="F101" s="159"/>
      <c r="G101" s="106" t="e">
        <f t="shared" si="78"/>
        <v>#DIV/0!</v>
      </c>
      <c r="H101" s="57">
        <f t="shared" si="79"/>
        <v>0</v>
      </c>
      <c r="I101" s="64"/>
      <c r="J101" s="64" t="e">
        <f t="shared" si="80"/>
        <v>#DIV/0!</v>
      </c>
      <c r="K101" s="62" t="e">
        <f t="shared" si="81"/>
        <v>#DIV/0!</v>
      </c>
      <c r="L101" s="159" t="s">
        <v>54</v>
      </c>
      <c r="M101" s="161"/>
      <c r="N101" s="161"/>
      <c r="O101" s="161"/>
    </row>
    <row r="102" spans="1:15">
      <c r="A102" s="159"/>
      <c r="B102" s="191" t="s">
        <v>306</v>
      </c>
      <c r="C102" s="77">
        <f>10</f>
        <v>10</v>
      </c>
      <c r="D102" s="65">
        <v>540</v>
      </c>
      <c r="E102" s="39"/>
      <c r="F102" s="159"/>
      <c r="G102" s="106" t="e">
        <f t="shared" si="78"/>
        <v>#DIV/0!</v>
      </c>
      <c r="H102" s="57">
        <f t="shared" si="79"/>
        <v>0</v>
      </c>
      <c r="I102" s="64"/>
      <c r="J102" s="64" t="e">
        <f t="shared" si="80"/>
        <v>#DIV/0!</v>
      </c>
      <c r="K102" s="62" t="e">
        <f t="shared" si="81"/>
        <v>#DIV/0!</v>
      </c>
      <c r="L102" s="159" t="s">
        <v>54</v>
      </c>
      <c r="M102" s="161"/>
      <c r="N102" s="161"/>
      <c r="O102" s="161"/>
    </row>
    <row r="103" spans="1:15">
      <c r="A103" s="159"/>
      <c r="B103" s="191" t="s">
        <v>307</v>
      </c>
      <c r="C103" s="77">
        <f>10</f>
        <v>10</v>
      </c>
      <c r="D103" s="65">
        <v>990</v>
      </c>
      <c r="E103" s="39"/>
      <c r="F103" s="159"/>
      <c r="G103" s="106" t="e">
        <f t="shared" si="78"/>
        <v>#DIV/0!</v>
      </c>
      <c r="H103" s="57">
        <f t="shared" si="79"/>
        <v>0</v>
      </c>
      <c r="I103" s="64"/>
      <c r="J103" s="64" t="e">
        <f t="shared" si="80"/>
        <v>#DIV/0!</v>
      </c>
      <c r="K103" s="62" t="e">
        <f t="shared" si="81"/>
        <v>#DIV/0!</v>
      </c>
      <c r="L103" s="159" t="s">
        <v>54</v>
      </c>
      <c r="M103" s="161"/>
      <c r="N103" s="161"/>
      <c r="O103" s="161"/>
    </row>
    <row r="104" spans="1:15">
      <c r="A104" s="159"/>
      <c r="B104" s="191" t="s">
        <v>315</v>
      </c>
      <c r="C104" s="77">
        <v>38.75</v>
      </c>
      <c r="D104" s="65"/>
      <c r="E104" s="39"/>
      <c r="F104" s="159"/>
      <c r="G104" s="106"/>
      <c r="H104" s="57"/>
      <c r="I104" s="64"/>
      <c r="J104" s="64"/>
      <c r="K104" s="62"/>
      <c r="L104" s="159" t="s">
        <v>54</v>
      </c>
      <c r="M104" s="161"/>
      <c r="N104" s="161"/>
      <c r="O104" s="161"/>
    </row>
    <row r="105" spans="1:15" ht="28.8">
      <c r="A105" s="159"/>
      <c r="B105" s="191" t="s">
        <v>316</v>
      </c>
      <c r="C105" s="77">
        <v>20.38</v>
      </c>
      <c r="D105" s="65"/>
      <c r="E105" s="39"/>
      <c r="F105" s="159"/>
      <c r="G105" s="106"/>
      <c r="H105" s="57"/>
      <c r="I105" s="64"/>
      <c r="J105" s="64"/>
      <c r="K105" s="62"/>
      <c r="L105" s="159" t="s">
        <v>54</v>
      </c>
      <c r="M105" s="161"/>
      <c r="N105" s="161"/>
      <c r="O105" s="161"/>
    </row>
    <row r="106" spans="1:15">
      <c r="A106" s="159">
        <f>A97+1</f>
        <v>67</v>
      </c>
      <c r="B106" s="39" t="s">
        <v>298</v>
      </c>
      <c r="C106" s="77">
        <v>0.84299999999999997</v>
      </c>
      <c r="D106" s="65">
        <v>111</v>
      </c>
      <c r="E106" s="39"/>
      <c r="F106" s="159">
        <f>_xlfn.IFNA(VLOOKUP(B106,'[3]PACKING LIST'!$B$35:$E$48,4,FALSE),0)</f>
        <v>0</v>
      </c>
      <c r="G106" s="106" t="e">
        <f t="shared" si="74"/>
        <v>#DIV/0!</v>
      </c>
      <c r="H106" s="57">
        <f t="shared" si="75"/>
        <v>0</v>
      </c>
      <c r="I106" s="64"/>
      <c r="J106" s="64" t="e">
        <f t="shared" si="76"/>
        <v>#DIV/0!</v>
      </c>
      <c r="K106" s="62" t="e">
        <f t="shared" si="77"/>
        <v>#DIV/0!</v>
      </c>
      <c r="L106" s="159" t="s">
        <v>54</v>
      </c>
      <c r="M106" s="21">
        <v>39169092</v>
      </c>
      <c r="N106" s="140" t="s">
        <v>278</v>
      </c>
    </row>
    <row r="107" spans="1:15">
      <c r="A107" s="159">
        <f t="shared" si="6"/>
        <v>68</v>
      </c>
      <c r="B107" s="39" t="s">
        <v>299</v>
      </c>
      <c r="C107" s="77">
        <v>0.98099999999999998</v>
      </c>
      <c r="D107" s="65">
        <v>132</v>
      </c>
      <c r="E107" s="39"/>
      <c r="F107" s="159">
        <f>_xlfn.IFNA(VLOOKUP(B107,'[3]PACKING LIST'!$B$35:$E$48,4,FALSE),0)</f>
        <v>0</v>
      </c>
      <c r="G107" s="106" t="e">
        <f t="shared" si="74"/>
        <v>#DIV/0!</v>
      </c>
      <c r="H107" s="57">
        <f t="shared" si="75"/>
        <v>0</v>
      </c>
      <c r="I107" s="64"/>
      <c r="J107" s="64" t="e">
        <f t="shared" si="76"/>
        <v>#DIV/0!</v>
      </c>
      <c r="K107" s="62" t="e">
        <f t="shared" si="77"/>
        <v>#DIV/0!</v>
      </c>
      <c r="L107" s="159" t="s">
        <v>54</v>
      </c>
      <c r="M107" s="21">
        <v>39169092</v>
      </c>
      <c r="N107" s="140" t="s">
        <v>278</v>
      </c>
    </row>
    <row r="108" spans="1:15">
      <c r="B108" s="39" t="s">
        <v>300</v>
      </c>
      <c r="C108" s="77">
        <v>1.081</v>
      </c>
      <c r="D108" s="65">
        <v>294</v>
      </c>
      <c r="E108" s="39"/>
      <c r="F108" s="159">
        <f>_xlfn.IFNA(VLOOKUP(B108,'[3]PACKING LIST'!$B$35:$E$48,4,FALSE),0)</f>
        <v>0</v>
      </c>
      <c r="G108" s="106" t="e">
        <f t="shared" si="74"/>
        <v>#DIV/0!</v>
      </c>
      <c r="H108" s="57">
        <f t="shared" si="75"/>
        <v>0</v>
      </c>
      <c r="I108" s="64"/>
      <c r="J108" s="64" t="e">
        <f t="shared" si="76"/>
        <v>#DIV/0!</v>
      </c>
      <c r="K108" s="62" t="e">
        <f t="shared" si="77"/>
        <v>#DIV/0!</v>
      </c>
      <c r="L108" s="159" t="s">
        <v>54</v>
      </c>
      <c r="M108" s="21">
        <v>39169092</v>
      </c>
      <c r="N108" s="140" t="s">
        <v>278</v>
      </c>
    </row>
    <row r="109" spans="1:15">
      <c r="B109" s="39" t="s">
        <v>310</v>
      </c>
      <c r="C109" s="77">
        <v>2.91</v>
      </c>
      <c r="D109" s="65">
        <f>294*1388/938</f>
        <v>435.04477611940297</v>
      </c>
      <c r="E109" s="39"/>
      <c r="F109" s="159">
        <f>_xlfn.IFNA(VLOOKUP(B109,'[3]PACKING LIST'!$B$35:$E$48,4,FALSE),0)</f>
        <v>0</v>
      </c>
      <c r="G109" s="106" t="e">
        <f t="shared" si="74"/>
        <v>#DIV/0!</v>
      </c>
      <c r="H109" s="57">
        <f t="shared" si="75"/>
        <v>0</v>
      </c>
      <c r="I109" s="64"/>
      <c r="J109" s="64" t="e">
        <f t="shared" si="76"/>
        <v>#DIV/0!</v>
      </c>
      <c r="K109" s="62" t="e">
        <f t="shared" si="77"/>
        <v>#DIV/0!</v>
      </c>
      <c r="L109" s="159" t="s">
        <v>54</v>
      </c>
      <c r="M109" s="21">
        <v>39169092</v>
      </c>
      <c r="N109" s="140" t="s">
        <v>278</v>
      </c>
    </row>
    <row r="110" spans="1:15">
      <c r="B110" s="39" t="s">
        <v>301</v>
      </c>
      <c r="C110" s="39"/>
      <c r="D110" s="65">
        <v>511</v>
      </c>
      <c r="E110" s="39"/>
      <c r="F110" s="159">
        <f>_xlfn.IFNA(VLOOKUP(B110,'[3]PACKING LIST'!$B$35:$E$48,4,FALSE),0)</f>
        <v>0</v>
      </c>
      <c r="G110" s="106" t="e">
        <f t="shared" si="74"/>
        <v>#DIV/0!</v>
      </c>
      <c r="H110" s="57">
        <f t="shared" si="75"/>
        <v>0</v>
      </c>
      <c r="I110" s="64"/>
      <c r="J110" s="64" t="e">
        <f t="shared" si="76"/>
        <v>#DIV/0!</v>
      </c>
      <c r="K110" s="62" t="e">
        <f t="shared" si="77"/>
        <v>#DIV/0!</v>
      </c>
      <c r="L110" s="159" t="s">
        <v>54</v>
      </c>
      <c r="M110" s="21">
        <v>39169092</v>
      </c>
      <c r="N110" s="140" t="s">
        <v>278</v>
      </c>
    </row>
    <row r="111" spans="1:15">
      <c r="B111" s="39" t="s">
        <v>311</v>
      </c>
      <c r="C111" s="77">
        <v>5.35</v>
      </c>
      <c r="D111" s="65">
        <v>755</v>
      </c>
      <c r="E111" s="39"/>
      <c r="F111" s="159"/>
      <c r="G111" s="106"/>
      <c r="H111" s="57"/>
      <c r="I111" s="64"/>
      <c r="J111" s="64"/>
      <c r="K111" s="62"/>
      <c r="L111" s="159" t="s">
        <v>54</v>
      </c>
      <c r="N111" s="140"/>
    </row>
    <row r="112" spans="1:15">
      <c r="B112" s="39" t="s">
        <v>308</v>
      </c>
      <c r="C112" s="77">
        <v>2</v>
      </c>
      <c r="D112" s="39"/>
      <c r="E112" s="39"/>
      <c r="F112" s="39"/>
      <c r="G112" s="39"/>
      <c r="H112" s="39"/>
      <c r="I112" s="39"/>
      <c r="J112" s="39"/>
      <c r="K112" s="39"/>
      <c r="L112" s="159" t="s">
        <v>54</v>
      </c>
    </row>
  </sheetData>
  <autoFilter ref="A2:P107" xr:uid="{00000000-0009-0000-0000-000006000000}"/>
  <phoneticPr fontId="4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Q18"/>
  <sheetViews>
    <sheetView topLeftCell="B1" workbookViewId="0">
      <selection activeCell="I7" sqref="I7"/>
    </sheetView>
  </sheetViews>
  <sheetFormatPr defaultColWidth="9" defaultRowHeight="34.450000000000003" customHeight="1"/>
  <cols>
    <col min="1" max="16384" width="9" style="99"/>
  </cols>
  <sheetData>
    <row r="2" spans="1:17" ht="34.450000000000003" customHeight="1">
      <c r="A2" s="96" t="s">
        <v>250</v>
      </c>
      <c r="B2" s="96"/>
    </row>
    <row r="3" spans="1:17" ht="34.450000000000003" customHeight="1">
      <c r="A3" s="96"/>
      <c r="B3" s="96"/>
    </row>
    <row r="4" spans="1:17" ht="34.450000000000003" customHeight="1">
      <c r="A4" s="96" t="s">
        <v>215</v>
      </c>
      <c r="B4" s="96"/>
    </row>
    <row r="5" spans="1:17" ht="34.450000000000003" customHeight="1">
      <c r="A5" s="96" t="s">
        <v>313</v>
      </c>
      <c r="B5" s="96"/>
    </row>
    <row r="6" spans="1:17" ht="34.450000000000003" customHeight="1">
      <c r="A6" s="96" t="s">
        <v>216</v>
      </c>
      <c r="B6" s="96"/>
    </row>
    <row r="7" spans="1:17" ht="34.450000000000003" customHeight="1">
      <c r="A7" s="96"/>
      <c r="B7" s="96"/>
    </row>
    <row r="9" spans="1:17" ht="34.450000000000003" customHeight="1">
      <c r="A9" s="96" t="s">
        <v>251</v>
      </c>
      <c r="B9" s="98"/>
      <c r="C9" s="98"/>
    </row>
    <row r="10" spans="1:17" ht="34.450000000000003" customHeight="1">
      <c r="A10" s="96"/>
      <c r="B10" s="96"/>
      <c r="C10" s="98"/>
    </row>
    <row r="11" spans="1:17" ht="34.450000000000003" customHeight="1">
      <c r="A11" s="96" t="s">
        <v>225</v>
      </c>
      <c r="B11" s="98"/>
      <c r="C11" s="98"/>
    </row>
    <row r="12" spans="1:17" ht="34.450000000000003" customHeight="1">
      <c r="A12" s="96"/>
      <c r="B12" s="98"/>
      <c r="C12" s="98"/>
    </row>
    <row r="13" spans="1:17" ht="34.450000000000003" customHeight="1">
      <c r="A13" s="472" t="s">
        <v>18</v>
      </c>
      <c r="B13" s="472"/>
      <c r="C13" s="472"/>
      <c r="D13" s="472"/>
      <c r="E13" s="472"/>
    </row>
    <row r="14" spans="1:17" ht="34.450000000000003" customHeight="1">
      <c r="A14" s="472"/>
      <c r="B14" s="472"/>
      <c r="C14" s="472"/>
      <c r="D14" s="472"/>
      <c r="E14" s="472"/>
    </row>
    <row r="16" spans="1:17" ht="34.450000000000003" customHeight="1">
      <c r="A16" s="473"/>
      <c r="B16" s="473"/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  <c r="O16" s="185"/>
      <c r="P16" s="185"/>
      <c r="Q16" s="185"/>
    </row>
    <row r="17" spans="1:17" ht="34.450000000000003" customHeight="1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</row>
    <row r="18" spans="1:17" ht="34.450000000000003" customHeight="1">
      <c r="H18" s="186"/>
    </row>
  </sheetData>
  <mergeCells count="3">
    <mergeCell ref="A13:E13"/>
    <mergeCell ref="A14:E14"/>
    <mergeCell ref="A16:N16"/>
  </mergeCells>
  <phoneticPr fontId="4"/>
  <pageMargins left="0.16" right="0.16" top="0.16" bottom="0.16" header="0.19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INVOICE</vt:lpstr>
      <vt:lpstr>PACKING LIST</vt:lpstr>
      <vt:lpstr>IV tong</vt:lpstr>
      <vt:lpstr>PL tong</vt:lpstr>
      <vt:lpstr>Yeu cau thanh toan</vt:lpstr>
      <vt:lpstr>HS code</vt:lpstr>
      <vt:lpstr>データ</vt:lpstr>
      <vt:lpstr>dia chỉ</vt:lpstr>
      <vt:lpstr>INVOICE!Print_Area</vt:lpstr>
      <vt:lpstr>'IV tong'!Print_Area</vt:lpstr>
      <vt:lpstr>'PACKING LIST'!Print_Area</vt:lpstr>
      <vt:lpstr>'Yeu cau thanh toan'!Print_Area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</dc:creator>
  <cp:keywords/>
  <dc:description/>
  <cp:lastModifiedBy>nguyen quyen</cp:lastModifiedBy>
  <cp:revision/>
  <cp:lastPrinted>2025-12-05T06:34:04Z</cp:lastPrinted>
  <dcterms:created xsi:type="dcterms:W3CDTF">2016-05-31T08:23:05Z</dcterms:created>
  <dcterms:modified xsi:type="dcterms:W3CDTF">2025-12-17T04:38:03Z</dcterms:modified>
  <cp:category/>
  <cp:contentStatus/>
</cp:coreProperties>
</file>